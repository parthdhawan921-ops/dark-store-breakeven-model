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Model" sheetId="3" state="visible" r:id="rId5"/>
    <sheet name="Sensitivity" sheetId="4" state="visible" r:id="rId6"/>
    <sheet name="Scenarios" sheetId="5" state="visible" r:id="rId7"/>
    <sheet name="Tornado" sheetId="6" state="visible" r:id="rId8"/>
    <sheet name="BreakEven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<sst xmlns="http://schemas.openxmlformats.org/spreadsheetml/2006/main" count="317" uniqueCount="250">
  <si>
    <t xml:space="preserve">A4: Dark-store break-even model (Swiggy Instamart, Q1 FY27)</t>
  </si>
  <si>
    <t xml:space="preserve">One-page recommendation. Every number below is a live formula. Disclosed inputs: Swiggy Q1 FY27 letter and KPI databook; Blinkit benchmark: Eternal Q1 FY27.</t>
  </si>
  <si>
    <t xml:space="preserve">Business question</t>
  </si>
  <si>
    <t xml:space="preserve">How many orders a day, at what AOV, does a dark store need to move from Instamart's -0.2% contribution margin to +2%, and which lever (AOV, delivery fee, ad income, discounts, rider cost) gets there cheapest?</t>
  </si>
  <si>
    <t xml:space="preserve">Headline</t>
  </si>
  <si>
    <t xml:space="preserve">Value</t>
  </si>
  <si>
    <t xml:space="preserve">Note</t>
  </si>
  <si>
    <t xml:space="preserve">Orders per store per day today</t>
  </si>
  <si>
    <t xml:space="preserve">Rebuilt from disclosed orders, stores and days.</t>
  </si>
  <si>
    <t xml:space="preserve">Break-even orders per store per day</t>
  </si>
  <si>
    <t xml:space="preserve">Where contribution after fixed cost is zero, at today's AOV and cost structure.</t>
  </si>
  <si>
    <t xml:space="preserve">Increase needed vs today</t>
  </si>
  <si>
    <t xml:space="preserve">Orders per store per day for the target margin</t>
  </si>
  <si>
    <t xml:space="preserve">Volume alone is a very long way off the target.</t>
  </si>
  <si>
    <t xml:space="preserve">Contribution per order today (₹)</t>
  </si>
  <si>
    <t xml:space="preserve">-0.2% of AOV.</t>
  </si>
  <si>
    <t xml:space="preserve">Contribution per store per month today (₹)</t>
  </si>
  <si>
    <t xml:space="preserve">Fixed cost per store per month, calibrated (₹)</t>
  </si>
  <si>
    <t xml:space="preserve">Not disclosed. Solved from the disclosed total cost per order and my variable-cost assumptions.</t>
  </si>
  <si>
    <t xml:space="preserve">Effect of a +10% AOV lift: contribution per store per month (₹)</t>
  </si>
  <si>
    <t xml:space="preserve">Top two levers by swing (move each input ±10%, others at base)</t>
  </si>
  <si>
    <t xml:space="preserve">Lever</t>
  </si>
  <si>
    <t xml:space="preserve">Swing, ₹ per store per month</t>
  </si>
  <si>
    <t xml:space="preserve">Swing, all stores, ₹ crore a month</t>
  </si>
  <si>
    <t xml:space="preserve">Reading</t>
  </si>
  <si>
    <t xml:space="preserve">A 10% move either way. Inputs move alone; real changes interact.</t>
  </si>
  <si>
    <t xml:space="preserve">Recommendation</t>
  </si>
  <si>
    <t xml:space="preserve">Limits to say out loud</t>
  </si>
  <si>
    <t xml:space="preserve">• Public data gives total cost per order but not its split. Rider, picking, packaging, payment, wastage, fee, ad income and discount per order are my assumptions (yellow cells on Inputs).</t>
  </si>
  <si>
    <t xml:space="preserve">• Fixed cost is solved so the model reproduces the disclosed -0.2% contribution; it is then cross-checked against a rent, staff and power guess on the Model sheet.</t>
  </si>
  <si>
    <t xml:space="preserve">• Levers move one at a time. Real levers interact: more discount lifts orders but cuts AOV and margin.</t>
  </si>
  <si>
    <t xml:space="preserve">• Q1 FY27 is one quarter of Instamart as a whole. Individual stores differ widely in density, rent and AOV.</t>
  </si>
  <si>
    <t xml:space="preserve">• Checks sheet confirms the model reproduces the plan's 1,075 orders/store/day, 15.6% take rate, about ₹109 cost per order and the -0.2% margin.</t>
  </si>
  <si>
    <t xml:space="preserve">Sheets</t>
  </si>
  <si>
    <t xml:space="preserve">Inputs: disclosed figures, benchmark, derived figures, assumptions</t>
  </si>
  <si>
    <t xml:space="preserve">Model: per-order P&amp;L, fixed cost, break-even</t>
  </si>
  <si>
    <t xml:space="preserve">Sensitivity: three live grids (AOV x volume, fee x discount, AOV x rider cost)</t>
  </si>
  <si>
    <t xml:space="preserve">Scenarios: base, density up, discount war, lever pack</t>
  </si>
  <si>
    <t xml:space="preserve">Tornado: ±10% on each input, ranked, with chart</t>
  </si>
  <si>
    <t xml:space="preserve">BreakEven: contribution vs orders line chart</t>
  </si>
  <si>
    <t xml:space="preserve">Checks: reproduces the plan's figures</t>
  </si>
  <si>
    <t xml:space="preserve">Inputs: disclosed figures, derived figures and assumptions</t>
  </si>
  <si>
    <t xml:space="preserve">Blue = typed input. Blue on yellow = my assumption (change it). Black = formula. Green = link to another sheet.</t>
  </si>
  <si>
    <t xml:space="preserve">Item</t>
  </si>
  <si>
    <t xml:space="preserve">Unit</t>
  </si>
  <si>
    <t xml:space="preserve">Source or note</t>
  </si>
  <si>
    <t xml:space="preserve">A. Disclosed: Swiggy Instamart, Q1 FY27 (Apr to Jun 2026)</t>
  </si>
  <si>
    <t xml:space="preserve">Instamart GOV</t>
  </si>
  <si>
    <t xml:space="preserve">₹ crore</t>
  </si>
  <si>
    <t xml:space="preserve">Swiggy Q1 FY27 shareholders' letter and KPI databook</t>
  </si>
  <si>
    <t xml:space="preserve">Orders</t>
  </si>
  <si>
    <t xml:space="preserve">million</t>
  </si>
  <si>
    <t xml:space="preserve">Average order value (AOV)</t>
  </si>
  <si>
    <t xml:space="preserve">₹</t>
  </si>
  <si>
    <t xml:space="preserve">Adjusted revenue per order</t>
  </si>
  <si>
    <t xml:space="preserve">Contribution margin</t>
  </si>
  <si>
    <t xml:space="preserve">% of GOV</t>
  </si>
  <si>
    <t xml:space="preserve">Swiggy Q1 FY27: contribution is -0.2% of GOV</t>
  </si>
  <si>
    <t xml:space="preserve">Dark stores</t>
  </si>
  <si>
    <t xml:space="preserve">stores</t>
  </si>
  <si>
    <t xml:space="preserve">Total store area</t>
  </si>
  <si>
    <t xml:space="preserve">million sq ft</t>
  </si>
  <si>
    <t xml:space="preserve">Days in quarter (1 Apr to 30 Jun)</t>
  </si>
  <si>
    <t xml:space="preserve">days</t>
  </si>
  <si>
    <t xml:space="preserve">30 + 31 + 30</t>
  </si>
  <si>
    <t xml:space="preserve">B. Benchmark, for reference only: Blinkit (Eternal Q1 FY27)</t>
  </si>
  <si>
    <t xml:space="preserve">Blinkit net AOV (NAOV)</t>
  </si>
  <si>
    <t xml:space="preserve">Eternal Q1 FY27 results; MediaNama; INDmoney</t>
  </si>
  <si>
    <t xml:space="preserve">Blinkit stores</t>
  </si>
  <si>
    <t xml:space="preserve">Blinkit contribution</t>
  </si>
  <si>
    <t xml:space="preserve">% of NOV</t>
  </si>
  <si>
    <t xml:space="preserve">Blinkit inventory losses</t>
  </si>
  <si>
    <t xml:space="preserve">C. Derived from the disclosures (formulas)</t>
  </si>
  <si>
    <t xml:space="preserve">Orders per store per day</t>
  </si>
  <si>
    <t xml:space="preserve">orders</t>
  </si>
  <si>
    <t xml:space="preserve">Orders / (stores x days). The plan says about 1,075.</t>
  </si>
  <si>
    <t xml:space="preserve">Take rate (adjusted revenue / AOV)</t>
  </si>
  <si>
    <t xml:space="preserve">% of AOV</t>
  </si>
  <si>
    <t xml:space="preserve">The plan says 15.6%.</t>
  </si>
  <si>
    <t xml:space="preserve">Average store size</t>
  </si>
  <si>
    <t xml:space="preserve">sq ft</t>
  </si>
  <si>
    <t xml:space="preserve">The plan says about 4,200 sq ft.</t>
  </si>
  <si>
    <t xml:space="preserve">Total cost per order (revenue minus contribution)</t>
  </si>
  <si>
    <t xml:space="preserve">Adjusted revenue less contribution (contribution = -0.2% x AOV = -₹1.38 per order). The plan says about ₹109.</t>
  </si>
  <si>
    <t xml:space="preserve">GOV rebuilt from orders x AOV</t>
  </si>
  <si>
    <t xml:space="preserve">Cross-check against the reported GOV in B6.</t>
  </si>
  <si>
    <t xml:space="preserve">D. My assumptions (public data does not split these; change the yellow cells)</t>
  </si>
  <si>
    <t xml:space="preserve">Delivery + handling fee charged per order</t>
  </si>
  <si>
    <t xml:space="preserve">ASSUMPTION. Not separately disclosed.</t>
  </si>
  <si>
    <t xml:space="preserve">Ad income per order</t>
  </si>
  <si>
    <t xml:space="preserve">Discounts funded by Instamart per order</t>
  </si>
  <si>
    <t xml:space="preserve">Rider / last-mile cost per order</t>
  </si>
  <si>
    <t xml:space="preserve">ASSUMPTION. Typical quick-commerce range; not disclosed.</t>
  </si>
  <si>
    <t xml:space="preserve">Picking and packing labour per order</t>
  </si>
  <si>
    <t xml:space="preserve">ASSUMPTION. Not disclosed.</t>
  </si>
  <si>
    <t xml:space="preserve">Packaging per order</t>
  </si>
  <si>
    <t xml:space="preserve">Payment gateway cost</t>
  </si>
  <si>
    <t xml:space="preserve">Wastage and shrink</t>
  </si>
  <si>
    <t xml:space="preserve">ASSUMPTION. Blinkit discloses inventory losses of 1.8% of NOV (B19) as a reference point.</t>
  </si>
  <si>
    <t xml:space="preserve">E. Calibration: makes the model reproduce the disclosed ₹108 revenue per order</t>
  </si>
  <si>
    <t xml:space="preserve">Calibrated product margin (commission / trading margin)</t>
  </si>
  <si>
    <t xml:space="preserve">Solved so that margin + fee + ad income - discounts = disclosed ₹108 at the disclosed AOV.</t>
  </si>
  <si>
    <t xml:space="preserve">F. Fixed-cost cross-check (bottom-up guess, shown against the calibrated figure on the Model sheet)</t>
  </si>
  <si>
    <t xml:space="preserve">Rent per sq ft per month</t>
  </si>
  <si>
    <t xml:space="preserve">ASSUMPTION. Rough micro-warehouse rent; not disclosed.</t>
  </si>
  <si>
    <t xml:space="preserve">Fixed staff per store per month</t>
  </si>
  <si>
    <t xml:space="preserve">ASSUMPTION. Store manager, supervisors, security, base shifts; not disclosed.</t>
  </si>
  <si>
    <t xml:space="preserve">Power, internet, maintenance per store per month</t>
  </si>
  <si>
    <t xml:space="preserve">Bottom-up fixed cost per store per month</t>
  </si>
  <si>
    <t xml:space="preserve">Rent x store size + staff + power. Only a cross-check; the model uses the calibrated fixed cost.</t>
  </si>
  <si>
    <t xml:space="preserve">G. Model settings</t>
  </si>
  <si>
    <t xml:space="preserve">Days per month used for monthly figures</t>
  </si>
  <si>
    <t xml:space="preserve">Target contribution margin</t>
  </si>
  <si>
    <t xml:space="preserve">The plan's target: move from -0.2% to +2% of GOV.</t>
  </si>
  <si>
    <t xml:space="preserve">Model: one order, one store, then all 1,171 stores (base case)</t>
  </si>
  <si>
    <t xml:space="preserve">Everything here is a formula. Rupee amounts per order unless the label says otherwise.</t>
  </si>
  <si>
    <t xml:space="preserve">Line</t>
  </si>
  <si>
    <t xml:space="preserve">How it is built</t>
  </si>
  <si>
    <t xml:space="preserve">AOV (₹)</t>
  </si>
  <si>
    <t xml:space="preserve">Disclosed.</t>
  </si>
  <si>
    <t xml:space="preserve">Product margin (₹)</t>
  </si>
  <si>
    <t xml:space="preserve">Calibrated margin % x AOV.</t>
  </si>
  <si>
    <t xml:space="preserve">Delivery + handling fee (₹)</t>
  </si>
  <si>
    <t xml:space="preserve">Assumption.</t>
  </si>
  <si>
    <t xml:space="preserve">Ad income (₹)</t>
  </si>
  <si>
    <t xml:space="preserve">Discounts (₹)</t>
  </si>
  <si>
    <t xml:space="preserve">Assumption, shown as a deduction.</t>
  </si>
  <si>
    <t xml:space="preserve">Revenue per order (₹)</t>
  </si>
  <si>
    <t xml:space="preserve">Reproduces the disclosed ₹108.</t>
  </si>
  <si>
    <t xml:space="preserve">Variable costs</t>
  </si>
  <si>
    <t xml:space="preserve">Rider / last-mile (₹)</t>
  </si>
  <si>
    <t xml:space="preserve">Variable. Assumption.</t>
  </si>
  <si>
    <t xml:space="preserve">Picking and packing (₹)</t>
  </si>
  <si>
    <t xml:space="preserve">Packaging (₹)</t>
  </si>
  <si>
    <t xml:space="preserve">Payment gateway (₹)</t>
  </si>
  <si>
    <t xml:space="preserve">Variable: % of AOV.</t>
  </si>
  <si>
    <t xml:space="preserve">Wastage and shrink (₹)</t>
  </si>
  <si>
    <t xml:space="preserve">Variable cost per order (₹)</t>
  </si>
  <si>
    <t xml:space="preserve">Sum of the five variable lines.</t>
  </si>
  <si>
    <t xml:space="preserve">Unit contribution before fixed cost (₹ per order)</t>
  </si>
  <si>
    <t xml:space="preserve">Revenue less variable cost. What each extra order adds.</t>
  </si>
  <si>
    <t xml:space="preserve">Fixed cost, calibrated to the disclosed total</t>
  </si>
  <si>
    <t xml:space="preserve">Total cost per order, disclosed (₹)</t>
  </si>
  <si>
    <t xml:space="preserve">Revenue less contribution.</t>
  </si>
  <si>
    <t xml:space="preserve">Implied fixed cost per order at today's volume (₹)</t>
  </si>
  <si>
    <t xml:space="preserve">Total cost less variable cost (B16 is negative).</t>
  </si>
  <si>
    <t xml:space="preserve">From the disclosures.</t>
  </si>
  <si>
    <t xml:space="preserve">Fixed cost per store per day (₹)</t>
  </si>
  <si>
    <t xml:space="preserve">Calibrated: what the disclosed total cost leaves for fixed cost.</t>
  </si>
  <si>
    <t xml:space="preserve">Fixed cost per store per month (₹)</t>
  </si>
  <si>
    <t xml:space="preserve">Compare with the bottom-up guess on the Inputs sheet.</t>
  </si>
  <si>
    <t xml:space="preserve">Result at today's volume</t>
  </si>
  <si>
    <t xml:space="preserve">Contribution per order after fixed cost (₹)</t>
  </si>
  <si>
    <t xml:space="preserve">Should equal the disclosed -0.2% of AOV.</t>
  </si>
  <si>
    <t xml:space="preserve">Contribution margin (% of GOV)</t>
  </si>
  <si>
    <t xml:space="preserve">Check: equals the disclosed -0.2%.</t>
  </si>
  <si>
    <t xml:space="preserve">Contribution per store per day (₹)</t>
  </si>
  <si>
    <t xml:space="preserve">Contribution per store per month (₹)</t>
  </si>
  <si>
    <t xml:space="preserve">Contribution, all stores, per quarter (₹ crore)</t>
  </si>
  <si>
    <t xml:space="preserve">Contribution per order x orders (million) / 10 = ₹ crore.</t>
  </si>
  <si>
    <t xml:space="preserve">Break-even</t>
  </si>
  <si>
    <t xml:space="preserve">Fixed cost per day / unit contribution. Same answer Goal Seek would find.</t>
  </si>
  <si>
    <t xml:space="preserve">Orders per store per day needed for the target margin</t>
  </si>
  <si>
    <t xml:space="preserve">Fixed cost per day / (unit contribution - target margin x AOV).</t>
  </si>
  <si>
    <t xml:space="preserve">Increase needed vs today (target margin)</t>
  </si>
  <si>
    <t xml:space="preserve">Cross-check</t>
  </si>
  <si>
    <t xml:space="preserve">Bottom-up fixed cost per store per month (₹)</t>
  </si>
  <si>
    <t xml:space="preserve">My guess from rent, staff and power.</t>
  </si>
  <si>
    <t xml:space="preserve">Calibrated as a share of the bottom-up guess</t>
  </si>
  <si>
    <t xml:space="preserve">Above 100% means the guess misses some fixed cost (overheads, depreciation).</t>
  </si>
  <si>
    <t xml:space="preserve">Sensitivity grids (live formulas)</t>
  </si>
  <si>
    <t xml:space="preserve">Each cell recomputes the full model. Product margin % of AOV is held constant. The base case is the middle cell in each grid. Green, then red = better, then worse.</t>
  </si>
  <si>
    <t xml:space="preserve">Grid 1. Contribution margin (% of GOV): AOV down the side, orders per store per day across the top</t>
  </si>
  <si>
    <t xml:space="preserve">AOV ₹ \ orders/day</t>
  </si>
  <si>
    <t xml:space="preserve">AOV 518 = Blinkit's NAOV, for comparison. Blinkit's disclosed contribution is 5.3% of NOV.</t>
  </si>
  <si>
    <t xml:space="preserve">Grid 2. Contribution margin (% of GOV): delivery fee down the side, discount per order across the top</t>
  </si>
  <si>
    <t xml:space="preserve">Fee ₹ \ discount ₹</t>
  </si>
  <si>
    <t xml:space="preserve">Grid 3. Break-even orders per store per day: AOV down the side, rider cost per order across the top</t>
  </si>
  <si>
    <t xml:space="preserve">AOV ₹ \ rider ₹</t>
  </si>
  <si>
    <t xml:space="preserve">Lower is better. 'n/a' means each extra order loses money, so no volume breaks even.</t>
  </si>
  <si>
    <t xml:space="preserve">Scenarios: four cases side by side</t>
  </si>
  <si>
    <t xml:space="preserve">Edit the blue changes (rows 5 to 10). Every change is my illustrative assumption, not a disclosed figure. Blinkit figures are for reference only.</t>
  </si>
  <si>
    <t xml:space="preserve">Changes vs base</t>
  </si>
  <si>
    <t xml:space="preserve">Base</t>
  </si>
  <si>
    <t xml:space="preserve">Density up</t>
  </si>
  <si>
    <t xml:space="preserve">Discount war</t>
  </si>
  <si>
    <t xml:space="preserve">Lever pack</t>
  </si>
  <si>
    <t xml:space="preserve">Change in AOV (₹)</t>
  </si>
  <si>
    <t xml:space="preserve">Change in orders per store per day (%)</t>
  </si>
  <si>
    <t xml:space="preserve">Change in delivery fee (₹)</t>
  </si>
  <si>
    <t xml:space="preserve">Change in ad income per order (₹)</t>
  </si>
  <si>
    <t xml:space="preserve">Change in discount per order (₹)</t>
  </si>
  <si>
    <t xml:space="preserve">Change in rider cost per order (₹)</t>
  </si>
  <si>
    <t xml:space="preserve">Density up = Blinkit-like store density (+30% orders). Discount war = ₹10 more discount for +10% orders. Lever pack = higher baskets, ad income and fees, slightly cheaper riders.</t>
  </si>
  <si>
    <t xml:space="preserve">Scenario inputs</t>
  </si>
  <si>
    <t xml:space="preserve">Ad income per order (₹)</t>
  </si>
  <si>
    <t xml:space="preserve">Discount per order (₹)</t>
  </si>
  <si>
    <t xml:space="preserve">Rider cost per order (₹)</t>
  </si>
  <si>
    <t xml:space="preserve">Scenario outputs</t>
  </si>
  <si>
    <t xml:space="preserve">Unit contribution before fixed cost (₹)</t>
  </si>
  <si>
    <t xml:space="preserve">All stores, per month (₹ crore)</t>
  </si>
  <si>
    <t xml:space="preserve">Change in contribution per store per month vs base (₹)</t>
  </si>
  <si>
    <t xml:space="preserve">Reference: Blinkit, Eternal Q1 FY27 (disclosed)</t>
  </si>
  <si>
    <t xml:space="preserve">Blinkit NAOV (₹)</t>
  </si>
  <si>
    <t xml:space="preserve">Blinkit contribution (% of NOV)</t>
  </si>
  <si>
    <t xml:space="preserve">Instamart base contribution (% of GOV)</t>
  </si>
  <si>
    <t xml:space="preserve">Tornado: which input moves contribution most?</t>
  </si>
  <si>
    <t xml:space="preserve">Each input is moved down and up by the shock in B3, one at a time, everything else at base. Rows are ordered by swing as built; re-sort if you change inputs.</t>
  </si>
  <si>
    <t xml:space="preserve">Shock applied to each input</t>
  </si>
  <si>
    <t xml:space="preserve">Input</t>
  </si>
  <si>
    <t xml:space="preserve">Base value</t>
  </si>
  <si>
    <t xml:space="preserve">Down value</t>
  </si>
  <si>
    <t xml:space="preserve">Up value</t>
  </si>
  <si>
    <t xml:space="preserve">Contribution/store/month at down (₹)</t>
  </si>
  <si>
    <t xml:space="preserve">Contribution/store/month at up (₹)</t>
  </si>
  <si>
    <t xml:space="preserve">Change vs base, down (₹)</t>
  </si>
  <si>
    <t xml:space="preserve">Change vs base, up (₹)</t>
  </si>
  <si>
    <t xml:space="preserve">Swing (₹/store/month)</t>
  </si>
  <si>
    <t xml:space="preserve">Swing, all stores (₹ crore/month)</t>
  </si>
  <si>
    <t xml:space="preserve">AOV</t>
  </si>
  <si>
    <t xml:space="preserve">Rider cost per order</t>
  </si>
  <si>
    <t xml:space="preserve">Fixed cost per store per day</t>
  </si>
  <si>
    <t xml:space="preserve">Picking and packing per order</t>
  </si>
  <si>
    <t xml:space="preserve">Delivery + handling fee</t>
  </si>
  <si>
    <t xml:space="preserve">Payment gateway % of AOV</t>
  </si>
  <si>
    <t xml:space="preserve">Wastage % of AOV</t>
  </si>
  <si>
    <t xml:space="preserve">Discount per order</t>
  </si>
  <si>
    <t xml:space="preserve">Base contribution per store per month (₹)</t>
  </si>
  <si>
    <t xml:space="preserve">Caution: each input moves alone. In reality AOV, volume and discounts move together (a higher discount lifts orders but cuts AOV).</t>
  </si>
  <si>
    <t xml:space="preserve">Fixed cost is per store per day. Product margin % is held constant, so an AOV change scales commission with it.</t>
  </si>
  <si>
    <t xml:space="preserve">Break-even chart: contribution per store per day vs orders per day</t>
  </si>
  <si>
    <t xml:space="preserve">The line crosses zero at the break-even volume (Model!B31).</t>
  </si>
  <si>
    <t xml:space="preserve">Contribution per order (₹)</t>
  </si>
  <si>
    <t xml:space="preserve">Checks: does the model reproduce what the plan and Swiggy say?</t>
  </si>
  <si>
    <t xml:space="preserve">All rows should say PASS.</t>
  </si>
  <si>
    <t xml:space="preserve">Check</t>
  </si>
  <si>
    <t xml:space="preserve">Model</t>
  </si>
  <si>
    <t xml:space="preserve">Expected</t>
  </si>
  <si>
    <t xml:space="preserve">Result</t>
  </si>
  <si>
    <t xml:space="preserve">Orders per store per day is about 1,075 (plan)</t>
  </si>
  <si>
    <t xml:space="preserve">Take rate is 15.6% (plan)</t>
  </si>
  <si>
    <t xml:space="preserve">Total cost per order is about ₹109 (plan)</t>
  </si>
  <si>
    <t xml:space="preserve">Orders x AOV matches reported GOV (within 0.2%)</t>
  </si>
  <si>
    <t xml:space="preserve">Model revenue per order equals disclosed ₹108</t>
  </si>
  <si>
    <t xml:space="preserve">Model contribution margin equals disclosed -0.2% of GOV</t>
  </si>
  <si>
    <t xml:space="preserve">Contribution is zero at the break-even volume</t>
  </si>
  <si>
    <t xml:space="preserve">Scenario base column equals the Model contribution</t>
  </si>
  <si>
    <t xml:space="preserve">Sensitivity base cell (AOV and volume at base) equals disclosed -0.2%</t>
  </si>
  <si>
    <t xml:space="preserve">Tornado base equals Model contribution per store per month</t>
  </si>
  <si>
    <t xml:space="preserve">All checks pass?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</si>
</sst>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;\(#,##0.0\);\-"/>
    <numFmt numFmtId="166" formatCode="#,##0;\(#,##0\);\-"/>
    <numFmt numFmtId="167" formatCode="0.0%;\(0.0%\);\-"/>
    <numFmt numFmtId="168" formatCode="\₹#,##0.00;&quot;(₹&quot;#,##0.00\);\-"/>
    <numFmt numFmtId="169" formatCode="\₹#,##0;&quot;(₹&quot;#,##0\);\-"/>
    <numFmt numFmtId="170" formatCode="#,##0"/>
    <numFmt numFmtId="171" formatCode="#,##0.0"/>
    <numFmt numFmtId="172" formatCode="#,##0.00"/>
    <numFmt numFmtId="173" formatCode="0.00%;\(0.0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in contribution per store per month (₹), -10% and +10% on each input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Tornado!G5</c:f>
              <c:strCache>
                <c:ptCount val="1"/>
                <c:pt idx="0">
                  <c:v>Change vs base, down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Tornado!$A$6:$A$16</c:f>
              <c:strCache>
                <c:ptCount val="11"/>
                <c:pt idx="0">
                  <c:v>AOV</c:v>
                </c:pt>
                <c:pt idx="1">
                  <c:v>Rider cost per order</c:v>
                </c:pt>
                <c:pt idx="2">
                  <c:v>Fixed cost per store per day</c:v>
                </c:pt>
                <c:pt idx="3">
                  <c:v>Orders per store per day</c:v>
                </c:pt>
                <c:pt idx="4">
                  <c:v>Picking and packing per order</c:v>
                </c:pt>
                <c:pt idx="5">
                  <c:v>Delivery + handling fee</c:v>
                </c:pt>
                <c:pt idx="6">
                  <c:v>Ad income per order</c:v>
                </c:pt>
                <c:pt idx="7">
                  <c:v>Payment gateway % of AOV</c:v>
                </c:pt>
                <c:pt idx="8">
                  <c:v>Wastage % of AOV</c:v>
                </c:pt>
                <c:pt idx="9">
                  <c:v>Packaging per order</c:v>
                </c:pt>
                <c:pt idx="10">
                  <c:v>Discount per order</c:v>
                </c:pt>
              </c:strCache>
            </c:strRef>
          </c:cat>
          <c:val>
            <c:numRef>
              <c:f>Tornado!$G$6:$G$16</c:f>
              <c:numCache>
                <c:formatCode>\₹#,##0;"(₹"#,##0\);\-</c:formatCode>
                <c:ptCount val="11"/>
                <c:pt idx="0">
                  <c:v>-243103.912313135</c:v>
                </c:pt>
                <c:pt idx="1">
                  <c:v>145057.760343841</c:v>
                </c:pt>
                <c:pt idx="2">
                  <c:v>86383.5080376499</c:v>
                </c:pt>
                <c:pt idx="3">
                  <c:v>-81928.6230422011</c:v>
                </c:pt>
                <c:pt idx="4">
                  <c:v>48352.5867812803</c:v>
                </c:pt>
                <c:pt idx="5">
                  <c:v>-38682.0694250241</c:v>
                </c:pt>
                <c:pt idx="6">
                  <c:v>-32235.0578541867</c:v>
                </c:pt>
                <c:pt idx="7">
                  <c:v>26729.3099726916</c:v>
                </c:pt>
                <c:pt idx="8">
                  <c:v>26729.3099726916</c:v>
                </c:pt>
                <c:pt idx="9">
                  <c:v>19341.0347125122</c:v>
                </c:pt>
                <c:pt idx="10">
                  <c:v>19341.034712512</c:v>
                </c:pt>
              </c:numCache>
            </c:numRef>
          </c:val>
        </c:ser>
        <c:ser>
          <c:idx val="1"/>
          <c:order val="1"/>
          <c:tx>
            <c:strRef>
              <c:f>Tornado!H5</c:f>
              <c:strCache>
                <c:ptCount val="1"/>
                <c:pt idx="0">
                  <c:v>Change vs base, up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Tornado!$A$6:$A$16</c:f>
              <c:strCache>
                <c:ptCount val="11"/>
                <c:pt idx="0">
                  <c:v>AOV</c:v>
                </c:pt>
                <c:pt idx="1">
                  <c:v>Rider cost per order</c:v>
                </c:pt>
                <c:pt idx="2">
                  <c:v>Fixed cost per store per day</c:v>
                </c:pt>
                <c:pt idx="3">
                  <c:v>Orders per store per day</c:v>
                </c:pt>
                <c:pt idx="4">
                  <c:v>Picking and packing per order</c:v>
                </c:pt>
                <c:pt idx="5">
                  <c:v>Delivery + handling fee</c:v>
                </c:pt>
                <c:pt idx="6">
                  <c:v>Ad income per order</c:v>
                </c:pt>
                <c:pt idx="7">
                  <c:v>Payment gateway % of AOV</c:v>
                </c:pt>
                <c:pt idx="8">
                  <c:v>Wastage % of AOV</c:v>
                </c:pt>
                <c:pt idx="9">
                  <c:v>Packaging per order</c:v>
                </c:pt>
                <c:pt idx="10">
                  <c:v>Discount per order</c:v>
                </c:pt>
              </c:strCache>
            </c:strRef>
          </c:cat>
          <c:val>
            <c:numRef>
              <c:f>Tornado!$H$6:$H$16</c:f>
              <c:numCache>
                <c:formatCode>\₹#,##0;"(₹"#,##0\);\-</c:formatCode>
                <c:ptCount val="11"/>
                <c:pt idx="0">
                  <c:v>243103.912313135</c:v>
                </c:pt>
                <c:pt idx="1">
                  <c:v>-145057.760343841</c:v>
                </c:pt>
                <c:pt idx="2">
                  <c:v>-86383.5080376499</c:v>
                </c:pt>
                <c:pt idx="3">
                  <c:v>81928.6230422013</c:v>
                </c:pt>
                <c:pt idx="4">
                  <c:v>-48352.5867812802</c:v>
                </c:pt>
                <c:pt idx="5">
                  <c:v>38682.0694250244</c:v>
                </c:pt>
                <c:pt idx="6">
                  <c:v>32235.0578541869</c:v>
                </c:pt>
                <c:pt idx="7">
                  <c:v>-26729.3099726916</c:v>
                </c:pt>
                <c:pt idx="8">
                  <c:v>-26729.3099726916</c:v>
                </c:pt>
                <c:pt idx="9">
                  <c:v>-19341.0347125121</c:v>
                </c:pt>
                <c:pt idx="10">
                  <c:v>-19341.0347125119</c:v>
                </c:pt>
              </c:numCache>
            </c:numRef>
          </c:val>
        </c:ser>
        <c:gapWidth val="150"/>
        <c:overlap val="100"/>
        <c:axId val="21733483"/>
        <c:axId val="6043124"/>
      </c:barChart>
      <c:catAx>
        <c:axId val="217334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3124"/>
        <c:crosses val="autoZero"/>
        <c:auto val="1"/>
        <c:lblAlgn val="ctr"/>
        <c:lblOffset val="100"/>
        <c:noMultiLvlLbl val="0"/>
      </c:catAx>
      <c:valAx>
        <c:axId val="6043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store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33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per store per day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BreakEven!B3</c:f>
              <c:strCache>
                <c:ptCount val="1"/>
                <c:pt idx="0">
                  <c:v>Contribution per store per day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BreakEven!$A$4:$A$17</c:f>
              <c:strCache>
                <c:ptCount val="14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1,000</c:v>
                </c:pt>
                <c:pt idx="5">
                  <c:v>1,200</c:v>
                </c:pt>
                <c:pt idx="6">
                  <c:v>1,400</c:v>
                </c:pt>
                <c:pt idx="7">
                  <c:v>1,600</c:v>
                </c:pt>
                <c:pt idx="8">
                  <c:v>1,800</c:v>
                </c:pt>
                <c:pt idx="9">
                  <c:v>2,000</c:v>
                </c:pt>
                <c:pt idx="10">
                  <c:v>2,200</c:v>
                </c:pt>
                <c:pt idx="11">
                  <c:v>2,400</c:v>
                </c:pt>
                <c:pt idx="12">
                  <c:v>2,600</c:v>
                </c:pt>
                <c:pt idx="13">
                  <c:v>2,800</c:v>
                </c:pt>
              </c:strCache>
            </c:strRef>
          </c:cat>
          <c:val>
            <c:numRef>
              <c:f>BreakEven!$B$4:$B$17</c:f>
              <c:numCache>
                <c:formatCode>\₹#,##0;"(₹"#,##0\);\-</c:formatCode>
                <c:ptCount val="14"/>
                <c:pt idx="0">
                  <c:v>-23711.3026792166</c:v>
                </c:pt>
                <c:pt idx="1">
                  <c:v>-18628.1026792166</c:v>
                </c:pt>
                <c:pt idx="2">
                  <c:v>-13544.9026792166</c:v>
                </c:pt>
                <c:pt idx="3">
                  <c:v>-8461.70267921661</c:v>
                </c:pt>
                <c:pt idx="4">
                  <c:v>-3378.50267921661</c:v>
                </c:pt>
                <c:pt idx="5">
                  <c:v>1704.69732078339</c:v>
                </c:pt>
                <c:pt idx="6">
                  <c:v>6787.89732078339</c:v>
                </c:pt>
                <c:pt idx="7">
                  <c:v>11871.0973207834</c:v>
                </c:pt>
                <c:pt idx="8">
                  <c:v>16954.2973207834</c:v>
                </c:pt>
                <c:pt idx="9">
                  <c:v>22037.4973207834</c:v>
                </c:pt>
                <c:pt idx="10">
                  <c:v>27120.6973207834</c:v>
                </c:pt>
                <c:pt idx="11">
                  <c:v>32203.8973207834</c:v>
                </c:pt>
                <c:pt idx="12">
                  <c:v>37287.0973207834</c:v>
                </c:pt>
                <c:pt idx="13">
                  <c:v>42370.2973207834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69090"/>
        <c:axId val="374074"/>
      </c:lineChart>
      <c:catAx>
        <c:axId val="47690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 per store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074"/>
        <c:crosses val="autoZero"/>
        <c:auto val="1"/>
        <c:lblAlgn val="ctr"/>
        <c:lblOffset val="100"/>
        <c:noMultiLvlLbl val="0"/>
      </c:catAx>
      <c:valAx>
        <c:axId val="374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store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96480</xdr:rowOff>
    </xdr:from>
    <xdr:to>
      <xdr:col>6</xdr:col>
      <xdr:colOff>745200</xdr:colOff>
      <xdr:row>39</xdr:row>
      <xdr:rowOff>76680</xdr:rowOff>
    </xdr:to>
    <xdr:graphicFrame>
      <xdr:nvGraphicFramePr>
        <xdr:cNvPr id="0" name="Chart 1"/>
        <xdr:cNvGraphicFramePr/>
      </xdr:nvGraphicFramePr>
      <xdr:xfrm>
        <a:off x="0" y="41911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364680</xdr:colOff>
      <xdr:row>18</xdr:row>
      <xdr:rowOff>49320</xdr:rowOff>
    </xdr:to>
    <xdr:graphicFrame>
      <xdr:nvGraphicFramePr>
        <xdr:cNvPr id="1" name="Chart 1"/>
        <xdr:cNvGraphicFramePr/>
      </xdr:nvGraphicFramePr>
      <xdr:xfrm>
        <a:off x="554544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2"/>
    </row>
    <row r="5" customFormat="false" ht="30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6" t="s">
        <v>4</v>
      </c>
      <c r="B7" s="6" t="s">
        <v>5</v>
      </c>
      <c r="C7" s="6"/>
      <c r="D7" s="6" t="s">
        <v>6</v>
      </c>
    </row>
    <row r="8" customFormat="false" ht="15" hidden="false" customHeight="false" outlineLevel="0" collapsed="false">
      <c r="A8" s="7" t="s">
        <v>7</v>
      </c>
      <c r="B8" s="8" t="n">
        <f aca="false">Model!B21</f>
        <v>1074.50192847289</v>
      </c>
      <c r="C8" s="2"/>
      <c r="D8" s="9" t="s">
        <v>8</v>
      </c>
    </row>
    <row r="9" customFormat="false" ht="15" hidden="false" customHeight="false" outlineLevel="0" collapsed="false">
      <c r="A9" s="7" t="s">
        <v>9</v>
      </c>
      <c r="B9" s="10" t="n">
        <f aca="false">Model!B31</f>
        <v>1132.92818221658</v>
      </c>
      <c r="C9" s="2"/>
      <c r="D9" s="9" t="s">
        <v>10</v>
      </c>
    </row>
    <row r="10" customFormat="false" ht="15" hidden="false" customHeight="false" outlineLevel="0" collapsed="false">
      <c r="A10" s="7" t="s">
        <v>11</v>
      </c>
      <c r="B10" s="11" t="n">
        <f aca="false">Model!B32</f>
        <v>0.0543751967264718</v>
      </c>
      <c r="C10" s="2"/>
      <c r="D10" s="9"/>
    </row>
    <row r="11" customFormat="false" ht="15" hidden="false" customHeight="false" outlineLevel="0" collapsed="false">
      <c r="A11" s="7" t="s">
        <v>12</v>
      </c>
      <c r="B11" s="10" t="n">
        <f aca="false">Model!B33</f>
        <v>2483.1409692322</v>
      </c>
      <c r="C11" s="2"/>
      <c r="D11" s="9" t="s">
        <v>13</v>
      </c>
    </row>
    <row r="12" customFormat="false" ht="15" hidden="false" customHeight="false" outlineLevel="0" collapsed="false">
      <c r="A12" s="7" t="s">
        <v>14</v>
      </c>
      <c r="B12" s="12" t="n">
        <f aca="false">Model!B25</f>
        <v>-1.38200000000001</v>
      </c>
      <c r="C12" s="2"/>
      <c r="D12" s="9" t="s">
        <v>15</v>
      </c>
    </row>
    <row r="13" customFormat="false" ht="15" hidden="false" customHeight="false" outlineLevel="0" collapsed="false">
      <c r="A13" s="7" t="s">
        <v>16</v>
      </c>
      <c r="B13" s="13" t="n">
        <f aca="false">Model!B28</f>
        <v>-44548.8499544863</v>
      </c>
      <c r="C13" s="2"/>
      <c r="D13" s="9"/>
    </row>
    <row r="14" customFormat="false" ht="15" hidden="false" customHeight="false" outlineLevel="0" collapsed="false">
      <c r="A14" s="7" t="s">
        <v>17</v>
      </c>
      <c r="B14" s="13" t="n">
        <f aca="false">Model!B23</f>
        <v>863835.080376498</v>
      </c>
      <c r="C14" s="2"/>
      <c r="D14" s="9" t="s">
        <v>18</v>
      </c>
    </row>
    <row r="15" customFormat="false" ht="15" hidden="false" customHeight="false" outlineLevel="0" collapsed="false">
      <c r="A15" s="7" t="s">
        <v>19</v>
      </c>
      <c r="B15" s="13" t="n">
        <f aca="false">INDEX(Tornado!H6:H16,MATCH("AOV",Tornado!A6:A16,0))</f>
        <v>243103.912313135</v>
      </c>
      <c r="C15" s="2"/>
      <c r="D15" s="9" t="str">
        <f aca="false">"₹"&amp;TEXT(B15*3*Inputs!B11/10000000,"0.0")&amp;" crore a quarter across "&amp;TEXT(Inputs!B11,"#,##0")&amp;" stores, volume held constant"</f>
        <v>₹85.4 crore a quarter across 1,171 stores, volume held constant</v>
      </c>
    </row>
    <row r="16" customFormat="false" ht="15" hidden="false" customHeight="false" outlineLevel="0" collapsed="false">
      <c r="A16" s="4" t="s">
        <v>20</v>
      </c>
      <c r="B16" s="2"/>
      <c r="C16" s="2"/>
      <c r="D16" s="2"/>
    </row>
    <row r="17" customFormat="false" ht="23.85" hidden="false" customHeight="false" outlineLevel="0" collapsed="false">
      <c r="A17" s="6" t="s">
        <v>21</v>
      </c>
      <c r="B17" s="6" t="s">
        <v>22</v>
      </c>
      <c r="C17" s="6" t="s">
        <v>23</v>
      </c>
      <c r="D17" s="6" t="s">
        <v>24</v>
      </c>
    </row>
    <row r="18" customFormat="false" ht="15" hidden="false" customHeight="false" outlineLevel="0" collapsed="false">
      <c r="A18" s="14" t="str">
        <f aca="false">Tornado!A6</f>
        <v>AOV</v>
      </c>
      <c r="B18" s="13" t="n">
        <f aca="false">Tornado!I6</f>
        <v>486207.824626271</v>
      </c>
      <c r="C18" s="12" t="n">
        <f aca="false">Tornado!J6</f>
        <v>56.9349362637363</v>
      </c>
      <c r="D18" s="9" t="s">
        <v>25</v>
      </c>
    </row>
    <row r="19" customFormat="false" ht="15" hidden="false" customHeight="false" outlineLevel="0" collapsed="false">
      <c r="A19" s="14" t="str">
        <f aca="false">Tornado!A7</f>
        <v>Rider cost per order</v>
      </c>
      <c r="B19" s="13" t="n">
        <f aca="false">Tornado!I7</f>
        <v>290115.520687682</v>
      </c>
      <c r="C19" s="12" t="n">
        <f aca="false">Tornado!J7</f>
        <v>33.9725274725275</v>
      </c>
      <c r="D19" s="9" t="s">
        <v>25</v>
      </c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4" t="s">
        <v>26</v>
      </c>
      <c r="B21" s="2"/>
      <c r="C21" s="2"/>
      <c r="D21" s="2"/>
    </row>
    <row r="22" customFormat="false" ht="31.5" hidden="false" customHeight="true" outlineLevel="0" collapsed="false">
      <c r="A22" s="5" t="str">
        <f aca="false">"1. Hold today's volume and push the two biggest levers above: "&amp;A18&amp;" and "&amp;A19&amp;". Break-even needs "&amp;TEXT(Model!B31,"#,##0")&amp;" orders per store per day, "&amp;TEXT(Model!B32,"0.0%")&amp;" above today's "&amp;TEXT(Model!B21,"#,##0")&amp;"."</f>
        <v>1. Hold today's volume and push the two biggest levers above: AOV and Rider cost per order. Break-even needs 1,133 orders per store per day, 5.4% above today's 1,075.</v>
      </c>
      <c r="B22" s="5"/>
      <c r="C22" s="5"/>
      <c r="D22" s="5"/>
    </row>
    <row r="23" customFormat="false" ht="31.5" hidden="false" customHeight="true" outlineLevel="0" collapsed="false">
      <c r="A23" s="5" t="str">
        <f aca="false">"2. Volume alone will not deliver a +"&amp;TEXT(Inputs!B49,"0%")&amp;" margin: it needs about "&amp;TEXT(Model!B33,"#,##0")&amp;" orders per store per day ("&amp;TEXT(Model!B34,"0%")&amp;" above today). Basket value, fees and ad income must carry the rest."</f>
        <v>2. Volume alone will not deliver a +2% margin: it needs about 2,483 orders per store per day (131% above today). Basket value, fees and ad income must carry the rest.</v>
      </c>
      <c r="B23" s="5"/>
      <c r="C23" s="5"/>
      <c r="D23" s="5"/>
    </row>
    <row r="24" customFormat="false" ht="31.5" hidden="false" customHeight="true" outlineLevel="0" collapsed="false">
      <c r="A24" s="5" t="str">
        <f aca="false">"3. A ₹"&amp;TEXT(Scenarios!E5,"0")&amp;" higher AOV with small ad, fee and rider gains (the lever pack) adds ₹"&amp;TEXT(Scenarios!E29,"#,##0")&amp;" contribution per store per month (₹"&amp;TEXT(Scenarios!E29*Inputs!B11/10000000,"0.0")&amp;" crore a month across "&amp;TEXT(Inputs!B11,"#,##0")&amp;" stores)."</f>
        <v>3. A ₹60 higher AOV with small ad, fee and rider gains (the lever pack) adds ₹565,674 contribution per store per month (₹66.2 crore a month across 1,171 stores).</v>
      </c>
      <c r="B24" s="5"/>
      <c r="C24" s="5"/>
      <c r="D24" s="5"/>
    </row>
    <row r="25" customFormat="false" ht="31.5" hidden="false" customHeight="true" outlineLevel="0" collapsed="false">
      <c r="A25" s="5" t="str">
        <f aca="false">"4. A discount war does the opposite: it changes contribution per store per month by "&amp;TEXT(Scenarios!D29,"₹#,##0;-₹#,##0")&amp;", even with "&amp;TEXT(Scenarios!D6,"0%")&amp;" more orders."</f>
        <v>4. A discount war does the opposite: it changes contribution per store per month by -₹272,657, even with 10% more orders.</v>
      </c>
      <c r="B25" s="5"/>
      <c r="C25" s="5"/>
      <c r="D25" s="5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4" t="s">
        <v>27</v>
      </c>
      <c r="B27" s="2"/>
      <c r="C27" s="2"/>
      <c r="D27" s="2"/>
    </row>
    <row r="28" customFormat="false" ht="30" hidden="false" customHeight="true" outlineLevel="0" collapsed="false">
      <c r="A28" s="5" t="s">
        <v>28</v>
      </c>
      <c r="B28" s="5"/>
      <c r="C28" s="5"/>
      <c r="D28" s="5"/>
    </row>
    <row r="29" customFormat="false" ht="30" hidden="false" customHeight="true" outlineLevel="0" collapsed="false">
      <c r="A29" s="5" t="s">
        <v>29</v>
      </c>
      <c r="B29" s="5"/>
      <c r="C29" s="5"/>
      <c r="D29" s="5"/>
    </row>
    <row r="30" customFormat="false" ht="30" hidden="false" customHeight="true" outlineLevel="0" collapsed="false">
      <c r="A30" s="5" t="s">
        <v>30</v>
      </c>
      <c r="B30" s="5"/>
      <c r="C30" s="5"/>
      <c r="D30" s="5"/>
    </row>
    <row r="31" customFormat="false" ht="30" hidden="false" customHeight="true" outlineLevel="0" collapsed="false">
      <c r="A31" s="5" t="s">
        <v>31</v>
      </c>
      <c r="B31" s="5"/>
      <c r="C31" s="5"/>
      <c r="D31" s="5"/>
    </row>
    <row r="32" customFormat="false" ht="30" hidden="false" customHeight="true" outlineLevel="0" collapsed="false">
      <c r="A32" s="5" t="s">
        <v>32</v>
      </c>
      <c r="B32" s="5"/>
      <c r="C32" s="5"/>
      <c r="D32" s="5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4" t="s">
        <v>33</v>
      </c>
      <c r="B34" s="2"/>
      <c r="C34" s="2"/>
      <c r="D34" s="2"/>
    </row>
    <row r="35" customFormat="false" ht="15" hidden="false" customHeight="false" outlineLevel="0" collapsed="false">
      <c r="A35" s="7" t="s">
        <v>34</v>
      </c>
      <c r="B35" s="2"/>
      <c r="C35" s="2"/>
      <c r="D35" s="2"/>
    </row>
    <row r="36" customFormat="false" ht="15" hidden="false" customHeight="false" outlineLevel="0" collapsed="false">
      <c r="A36" s="7" t="s">
        <v>35</v>
      </c>
      <c r="B36" s="2"/>
      <c r="C36" s="2"/>
      <c r="D36" s="2"/>
    </row>
    <row r="37" customFormat="false" ht="15" hidden="false" customHeight="false" outlineLevel="0" collapsed="false">
      <c r="A37" s="7" t="s">
        <v>36</v>
      </c>
      <c r="B37" s="2"/>
      <c r="C37" s="2"/>
      <c r="D37" s="2"/>
    </row>
    <row r="38" customFormat="false" ht="15" hidden="false" customHeight="false" outlineLevel="0" collapsed="false">
      <c r="A38" s="7" t="s">
        <v>37</v>
      </c>
      <c r="B38" s="2"/>
      <c r="C38" s="2"/>
      <c r="D38" s="2"/>
    </row>
    <row r="39" customFormat="false" ht="15" hidden="false" customHeight="false" outlineLevel="0" collapsed="false">
      <c r="A39" s="7" t="s">
        <v>38</v>
      </c>
      <c r="B39" s="2"/>
      <c r="C39" s="2"/>
      <c r="D39" s="2"/>
    </row>
    <row r="40" customFormat="false" ht="15" hidden="false" customHeight="false" outlineLevel="0" collapsed="false">
      <c r="A40" s="7" t="s">
        <v>39</v>
      </c>
      <c r="B40" s="2"/>
      <c r="C40" s="2"/>
      <c r="D40" s="2"/>
    </row>
    <row r="41" customFormat="false" ht="15" hidden="false" customHeight="false" outlineLevel="0" collapsed="false">
      <c r="A41" s="7" t="s">
        <v>40</v>
      </c>
      <c r="B41" s="2"/>
      <c r="C41" s="2"/>
      <c r="D41" s="2"/>
    </row>
  </sheetData>
  <mergeCells count="10">
    <mergeCell ref="A5:D5"/>
    <mergeCell ref="A22:D22"/>
    <mergeCell ref="A23:D23"/>
    <mergeCell ref="A24:D24"/>
    <mergeCell ref="A25:D25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41</v>
      </c>
      <c r="B1" s="2"/>
      <c r="C1" s="2"/>
      <c r="D1" s="2"/>
    </row>
    <row r="2" customFormat="false" ht="15" hidden="false" customHeight="false" outlineLevel="0" collapsed="false">
      <c r="A2" s="3" t="s">
        <v>42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 t="s">
        <v>43</v>
      </c>
      <c r="B4" s="6" t="s">
        <v>5</v>
      </c>
      <c r="C4" s="6" t="s">
        <v>44</v>
      </c>
      <c r="D4" s="6" t="s">
        <v>45</v>
      </c>
    </row>
    <row r="5" customFormat="false" ht="15" hidden="false" customHeight="false" outlineLevel="0" collapsed="false">
      <c r="A5" s="4" t="s">
        <v>46</v>
      </c>
      <c r="B5" s="2"/>
      <c r="C5" s="2"/>
      <c r="D5" s="2"/>
    </row>
    <row r="6" customFormat="false" ht="15" hidden="false" customHeight="false" outlineLevel="0" collapsed="false">
      <c r="A6" s="7" t="s">
        <v>47</v>
      </c>
      <c r="B6" s="15" t="n">
        <v>7907</v>
      </c>
      <c r="C6" s="7" t="s">
        <v>48</v>
      </c>
      <c r="D6" s="9" t="s">
        <v>49</v>
      </c>
    </row>
    <row r="7" customFormat="false" ht="15" hidden="false" customHeight="false" outlineLevel="0" collapsed="false">
      <c r="A7" s="7" t="s">
        <v>50</v>
      </c>
      <c r="B7" s="16" t="n">
        <v>114.5</v>
      </c>
      <c r="C7" s="7" t="s">
        <v>51</v>
      </c>
      <c r="D7" s="9" t="s">
        <v>49</v>
      </c>
    </row>
    <row r="8" customFormat="false" ht="15" hidden="false" customHeight="false" outlineLevel="0" collapsed="false">
      <c r="A8" s="7" t="s">
        <v>52</v>
      </c>
      <c r="B8" s="17" t="n">
        <v>691</v>
      </c>
      <c r="C8" s="7" t="s">
        <v>53</v>
      </c>
      <c r="D8" s="9" t="s">
        <v>49</v>
      </c>
    </row>
    <row r="9" customFormat="false" ht="15" hidden="false" customHeight="false" outlineLevel="0" collapsed="false">
      <c r="A9" s="7" t="s">
        <v>54</v>
      </c>
      <c r="B9" s="17" t="n">
        <v>108</v>
      </c>
      <c r="C9" s="7" t="s">
        <v>53</v>
      </c>
      <c r="D9" s="9" t="s">
        <v>49</v>
      </c>
    </row>
    <row r="10" customFormat="false" ht="15" hidden="false" customHeight="false" outlineLevel="0" collapsed="false">
      <c r="A10" s="7" t="s">
        <v>55</v>
      </c>
      <c r="B10" s="18" t="n">
        <v>-0.002</v>
      </c>
      <c r="C10" s="7" t="s">
        <v>56</v>
      </c>
      <c r="D10" s="9" t="s">
        <v>57</v>
      </c>
    </row>
    <row r="11" customFormat="false" ht="15" hidden="false" customHeight="false" outlineLevel="0" collapsed="false">
      <c r="A11" s="7" t="s">
        <v>58</v>
      </c>
      <c r="B11" s="19" t="n">
        <v>1171</v>
      </c>
      <c r="C11" s="7" t="s">
        <v>59</v>
      </c>
      <c r="D11" s="9" t="s">
        <v>49</v>
      </c>
    </row>
    <row r="12" customFormat="false" ht="15" hidden="false" customHeight="false" outlineLevel="0" collapsed="false">
      <c r="A12" s="7" t="s">
        <v>60</v>
      </c>
      <c r="B12" s="20" t="n">
        <v>4.92</v>
      </c>
      <c r="C12" s="7" t="s">
        <v>61</v>
      </c>
      <c r="D12" s="9" t="s">
        <v>49</v>
      </c>
    </row>
    <row r="13" customFormat="false" ht="15" hidden="false" customHeight="false" outlineLevel="0" collapsed="false">
      <c r="A13" s="7" t="s">
        <v>62</v>
      </c>
      <c r="B13" s="19" t="n">
        <v>91</v>
      </c>
      <c r="C13" s="7" t="s">
        <v>63</v>
      </c>
      <c r="D13" s="9" t="s">
        <v>64</v>
      </c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4" t="s">
        <v>65</v>
      </c>
      <c r="B15" s="2"/>
      <c r="C15" s="2"/>
      <c r="D15" s="2"/>
    </row>
    <row r="16" customFormat="false" ht="15" hidden="false" customHeight="false" outlineLevel="0" collapsed="false">
      <c r="A16" s="7" t="s">
        <v>66</v>
      </c>
      <c r="B16" s="17" t="n">
        <v>518</v>
      </c>
      <c r="C16" s="7" t="s">
        <v>53</v>
      </c>
      <c r="D16" s="9" t="s">
        <v>67</v>
      </c>
    </row>
    <row r="17" customFormat="false" ht="15" hidden="false" customHeight="false" outlineLevel="0" collapsed="false">
      <c r="A17" s="7" t="s">
        <v>68</v>
      </c>
      <c r="B17" s="19" t="n">
        <v>2443</v>
      </c>
      <c r="C17" s="7" t="s">
        <v>59</v>
      </c>
      <c r="D17" s="9" t="s">
        <v>67</v>
      </c>
    </row>
    <row r="18" customFormat="false" ht="15" hidden="false" customHeight="false" outlineLevel="0" collapsed="false">
      <c r="A18" s="7" t="s">
        <v>69</v>
      </c>
      <c r="B18" s="18" t="n">
        <v>0.053</v>
      </c>
      <c r="C18" s="7" t="s">
        <v>70</v>
      </c>
      <c r="D18" s="9" t="s">
        <v>67</v>
      </c>
    </row>
    <row r="19" customFormat="false" ht="15" hidden="false" customHeight="false" outlineLevel="0" collapsed="false">
      <c r="A19" s="7" t="s">
        <v>71</v>
      </c>
      <c r="B19" s="18" t="n">
        <v>0.018</v>
      </c>
      <c r="C19" s="7" t="s">
        <v>70</v>
      </c>
      <c r="D19" s="9" t="s">
        <v>67</v>
      </c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4" t="s">
        <v>72</v>
      </c>
      <c r="B21" s="2"/>
      <c r="C21" s="2"/>
      <c r="D21" s="2"/>
    </row>
    <row r="22" customFormat="false" ht="15" hidden="false" customHeight="false" outlineLevel="0" collapsed="false">
      <c r="A22" s="7" t="s">
        <v>73</v>
      </c>
      <c r="B22" s="21" t="n">
        <f aca="false">B7*1000000/(B11*B13)</f>
        <v>1074.50192847289</v>
      </c>
      <c r="C22" s="7" t="s">
        <v>74</v>
      </c>
      <c r="D22" s="9" t="s">
        <v>75</v>
      </c>
    </row>
    <row r="23" customFormat="false" ht="15" hidden="false" customHeight="false" outlineLevel="0" collapsed="false">
      <c r="A23" s="7" t="s">
        <v>76</v>
      </c>
      <c r="B23" s="22" t="n">
        <f aca="false">B9/B8</f>
        <v>0.15629522431259</v>
      </c>
      <c r="C23" s="7" t="s">
        <v>77</v>
      </c>
      <c r="D23" s="9" t="s">
        <v>78</v>
      </c>
    </row>
    <row r="24" customFormat="false" ht="15" hidden="false" customHeight="false" outlineLevel="0" collapsed="false">
      <c r="A24" s="7" t="s">
        <v>79</v>
      </c>
      <c r="B24" s="23" t="n">
        <f aca="false">B12*1000000/B11</f>
        <v>4201.53714773698</v>
      </c>
      <c r="C24" s="7" t="s">
        <v>80</v>
      </c>
      <c r="D24" s="9" t="s">
        <v>81</v>
      </c>
    </row>
    <row r="25" customFormat="false" ht="15" hidden="false" customHeight="false" outlineLevel="0" collapsed="false">
      <c r="A25" s="7" t="s">
        <v>82</v>
      </c>
      <c r="B25" s="24" t="n">
        <f aca="false">B9-B10*B8</f>
        <v>109.382</v>
      </c>
      <c r="C25" s="7" t="s">
        <v>53</v>
      </c>
      <c r="D25" s="9" t="s">
        <v>83</v>
      </c>
    </row>
    <row r="26" customFormat="false" ht="15" hidden="false" customHeight="false" outlineLevel="0" collapsed="false">
      <c r="A26" s="7" t="s">
        <v>84</v>
      </c>
      <c r="B26" s="25" t="n">
        <f aca="false">B7*B8/10</f>
        <v>7911.95</v>
      </c>
      <c r="C26" s="7" t="s">
        <v>48</v>
      </c>
      <c r="D26" s="9" t="s">
        <v>85</v>
      </c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4" t="s">
        <v>86</v>
      </c>
      <c r="B28" s="2"/>
      <c r="C28" s="2"/>
      <c r="D28" s="2"/>
    </row>
    <row r="29" customFormat="false" ht="15" hidden="false" customHeight="false" outlineLevel="0" collapsed="false">
      <c r="A29" s="7" t="s">
        <v>87</v>
      </c>
      <c r="B29" s="26" t="n">
        <v>12</v>
      </c>
      <c r="C29" s="7" t="s">
        <v>53</v>
      </c>
      <c r="D29" s="9" t="s">
        <v>88</v>
      </c>
    </row>
    <row r="30" customFormat="false" ht="15" hidden="false" customHeight="false" outlineLevel="0" collapsed="false">
      <c r="A30" s="7" t="s">
        <v>89</v>
      </c>
      <c r="B30" s="26" t="n">
        <v>10</v>
      </c>
      <c r="C30" s="7" t="s">
        <v>53</v>
      </c>
      <c r="D30" s="9" t="s">
        <v>88</v>
      </c>
    </row>
    <row r="31" customFormat="false" ht="15" hidden="false" customHeight="false" outlineLevel="0" collapsed="false">
      <c r="A31" s="7" t="s">
        <v>90</v>
      </c>
      <c r="B31" s="26" t="n">
        <v>6</v>
      </c>
      <c r="C31" s="7" t="s">
        <v>53</v>
      </c>
      <c r="D31" s="9" t="s">
        <v>88</v>
      </c>
    </row>
    <row r="32" customFormat="false" ht="15" hidden="false" customHeight="false" outlineLevel="0" collapsed="false">
      <c r="A32" s="7" t="s">
        <v>91</v>
      </c>
      <c r="B32" s="26" t="n">
        <v>45</v>
      </c>
      <c r="C32" s="7" t="s">
        <v>53</v>
      </c>
      <c r="D32" s="9" t="s">
        <v>92</v>
      </c>
    </row>
    <row r="33" customFormat="false" ht="15" hidden="false" customHeight="false" outlineLevel="0" collapsed="false">
      <c r="A33" s="7" t="s">
        <v>93</v>
      </c>
      <c r="B33" s="26" t="n">
        <v>15</v>
      </c>
      <c r="C33" s="7" t="s">
        <v>53</v>
      </c>
      <c r="D33" s="9" t="s">
        <v>94</v>
      </c>
    </row>
    <row r="34" customFormat="false" ht="15" hidden="false" customHeight="false" outlineLevel="0" collapsed="false">
      <c r="A34" s="7" t="s">
        <v>95</v>
      </c>
      <c r="B34" s="26" t="n">
        <v>6</v>
      </c>
      <c r="C34" s="7" t="s">
        <v>53</v>
      </c>
      <c r="D34" s="9" t="s">
        <v>94</v>
      </c>
    </row>
    <row r="35" customFormat="false" ht="15" hidden="false" customHeight="false" outlineLevel="0" collapsed="false">
      <c r="A35" s="7" t="s">
        <v>96</v>
      </c>
      <c r="B35" s="27" t="n">
        <v>0.012</v>
      </c>
      <c r="C35" s="7" t="s">
        <v>77</v>
      </c>
      <c r="D35" s="9" t="s">
        <v>94</v>
      </c>
    </row>
    <row r="36" customFormat="false" ht="15" hidden="false" customHeight="false" outlineLevel="0" collapsed="false">
      <c r="A36" s="7" t="s">
        <v>97</v>
      </c>
      <c r="B36" s="27" t="n">
        <v>0.012</v>
      </c>
      <c r="C36" s="7" t="s">
        <v>77</v>
      </c>
      <c r="D36" s="9" t="s">
        <v>98</v>
      </c>
    </row>
    <row r="37" customFormat="false" ht="15" hidden="false" customHeight="false" outlineLevel="0" collapsed="false">
      <c r="A37" s="2"/>
      <c r="B37" s="2"/>
      <c r="C37" s="2"/>
      <c r="D37" s="2"/>
    </row>
    <row r="38" customFormat="false" ht="15" hidden="false" customHeight="false" outlineLevel="0" collapsed="false">
      <c r="A38" s="4" t="s">
        <v>99</v>
      </c>
      <c r="B38" s="2"/>
      <c r="C38" s="2"/>
      <c r="D38" s="2"/>
    </row>
    <row r="39" customFormat="false" ht="15" hidden="false" customHeight="false" outlineLevel="0" collapsed="false">
      <c r="A39" s="7" t="s">
        <v>100</v>
      </c>
      <c r="B39" s="28" t="n">
        <f aca="false">(B9-B29-B30+B31)/B8</f>
        <v>0.133140376266281</v>
      </c>
      <c r="C39" s="7" t="s">
        <v>77</v>
      </c>
      <c r="D39" s="9" t="s">
        <v>101</v>
      </c>
    </row>
    <row r="40" customFormat="false" ht="15" hidden="false" customHeight="false" outlineLevel="0" collapsed="false">
      <c r="A40" s="2"/>
      <c r="B40" s="2"/>
      <c r="C40" s="2"/>
      <c r="D40" s="2"/>
    </row>
    <row r="41" customFormat="false" ht="15" hidden="false" customHeight="false" outlineLevel="0" collapsed="false">
      <c r="A41" s="4" t="s">
        <v>102</v>
      </c>
      <c r="B41" s="2"/>
      <c r="C41" s="2"/>
      <c r="D41" s="2"/>
    </row>
    <row r="42" customFormat="false" ht="15" hidden="false" customHeight="false" outlineLevel="0" collapsed="false">
      <c r="A42" s="7" t="s">
        <v>103</v>
      </c>
      <c r="B42" s="26" t="n">
        <v>100</v>
      </c>
      <c r="C42" s="7" t="s">
        <v>53</v>
      </c>
      <c r="D42" s="9" t="s">
        <v>104</v>
      </c>
    </row>
    <row r="43" customFormat="false" ht="15" hidden="false" customHeight="false" outlineLevel="0" collapsed="false">
      <c r="A43" s="7" t="s">
        <v>105</v>
      </c>
      <c r="B43" s="26" t="n">
        <v>250000</v>
      </c>
      <c r="C43" s="7" t="s">
        <v>53</v>
      </c>
      <c r="D43" s="9" t="s">
        <v>106</v>
      </c>
    </row>
    <row r="44" customFormat="false" ht="15" hidden="false" customHeight="false" outlineLevel="0" collapsed="false">
      <c r="A44" s="7" t="s">
        <v>107</v>
      </c>
      <c r="B44" s="26" t="n">
        <v>80000</v>
      </c>
      <c r="C44" s="7" t="s">
        <v>53</v>
      </c>
      <c r="D44" s="9" t="s">
        <v>94</v>
      </c>
    </row>
    <row r="45" customFormat="false" ht="15" hidden="false" customHeight="false" outlineLevel="0" collapsed="false">
      <c r="A45" s="7" t="s">
        <v>108</v>
      </c>
      <c r="B45" s="29" t="n">
        <f aca="false">B42*B24+B43+B44</f>
        <v>750153.714773698</v>
      </c>
      <c r="C45" s="7" t="s">
        <v>53</v>
      </c>
      <c r="D45" s="9" t="s">
        <v>109</v>
      </c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4" t="s">
        <v>110</v>
      </c>
      <c r="B47" s="2"/>
      <c r="C47" s="2"/>
      <c r="D47" s="2"/>
    </row>
    <row r="48" customFormat="false" ht="15" hidden="false" customHeight="false" outlineLevel="0" collapsed="false">
      <c r="A48" s="7" t="s">
        <v>111</v>
      </c>
      <c r="B48" s="19" t="n">
        <v>30</v>
      </c>
      <c r="C48" s="7" t="s">
        <v>63</v>
      </c>
      <c r="D48" s="2"/>
    </row>
    <row r="49" customFormat="false" ht="15" hidden="false" customHeight="false" outlineLevel="0" collapsed="false">
      <c r="A49" s="7" t="s">
        <v>112</v>
      </c>
      <c r="B49" s="27" t="n">
        <v>0.02</v>
      </c>
      <c r="C49" s="7" t="s">
        <v>56</v>
      </c>
      <c r="D49" s="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114</v>
      </c>
      <c r="B1" s="2"/>
      <c r="C1" s="2"/>
    </row>
    <row r="2" customFormat="false" ht="15" hidden="false" customHeight="false" outlineLevel="0" collapsed="false">
      <c r="A2" s="3" t="s">
        <v>115</v>
      </c>
      <c r="B2" s="2"/>
      <c r="C2" s="2"/>
    </row>
    <row r="3" customFormat="false" ht="15" hidden="false" customHeight="false" outlineLevel="0" collapsed="false">
      <c r="A3" s="6" t="s">
        <v>116</v>
      </c>
      <c r="B3" s="6" t="s">
        <v>5</v>
      </c>
      <c r="C3" s="6" t="s">
        <v>117</v>
      </c>
    </row>
    <row r="4" customFormat="false" ht="15" hidden="false" customHeight="false" outlineLevel="0" collapsed="false">
      <c r="A4" s="7" t="s">
        <v>118</v>
      </c>
      <c r="B4" s="30" t="n">
        <f aca="false">Inputs!B8</f>
        <v>691</v>
      </c>
      <c r="C4" s="9" t="s">
        <v>119</v>
      </c>
    </row>
    <row r="5" customFormat="false" ht="15" hidden="false" customHeight="false" outlineLevel="0" collapsed="false">
      <c r="A5" s="7" t="s">
        <v>120</v>
      </c>
      <c r="B5" s="24" t="n">
        <f aca="false">Inputs!B39*B4</f>
        <v>92</v>
      </c>
      <c r="C5" s="9" t="s">
        <v>121</v>
      </c>
    </row>
    <row r="6" customFormat="false" ht="15" hidden="false" customHeight="false" outlineLevel="0" collapsed="false">
      <c r="A6" s="7" t="s">
        <v>122</v>
      </c>
      <c r="B6" s="30" t="n">
        <f aca="false">Inputs!B29</f>
        <v>12</v>
      </c>
      <c r="C6" s="9" t="s">
        <v>123</v>
      </c>
    </row>
    <row r="7" customFormat="false" ht="15" hidden="false" customHeight="false" outlineLevel="0" collapsed="false">
      <c r="A7" s="7" t="s">
        <v>124</v>
      </c>
      <c r="B7" s="30" t="n">
        <f aca="false">Inputs!B30</f>
        <v>10</v>
      </c>
      <c r="C7" s="9" t="s">
        <v>123</v>
      </c>
    </row>
    <row r="8" customFormat="false" ht="15" hidden="false" customHeight="false" outlineLevel="0" collapsed="false">
      <c r="A8" s="7" t="s">
        <v>125</v>
      </c>
      <c r="B8" s="24" t="n">
        <f aca="false">-Inputs!B31</f>
        <v>-6</v>
      </c>
      <c r="C8" s="9" t="s">
        <v>126</v>
      </c>
    </row>
    <row r="9" customFormat="false" ht="15" hidden="false" customHeight="false" outlineLevel="0" collapsed="false">
      <c r="A9" s="31" t="s">
        <v>127</v>
      </c>
      <c r="B9" s="32" t="n">
        <f aca="false">SUM(B5:B8)</f>
        <v>108</v>
      </c>
      <c r="C9" s="9" t="s">
        <v>128</v>
      </c>
    </row>
    <row r="10" customFormat="false" ht="15" hidden="false" customHeight="false" outlineLevel="0" collapsed="false">
      <c r="A10" s="4" t="s">
        <v>129</v>
      </c>
      <c r="B10" s="2"/>
      <c r="C10" s="2"/>
    </row>
    <row r="11" customFormat="false" ht="15" hidden="false" customHeight="false" outlineLevel="0" collapsed="false">
      <c r="A11" s="7" t="s">
        <v>130</v>
      </c>
      <c r="B11" s="24" t="n">
        <f aca="false">-Inputs!B32</f>
        <v>-45</v>
      </c>
      <c r="C11" s="9" t="s">
        <v>131</v>
      </c>
    </row>
    <row r="12" customFormat="false" ht="15" hidden="false" customHeight="false" outlineLevel="0" collapsed="false">
      <c r="A12" s="7" t="s">
        <v>132</v>
      </c>
      <c r="B12" s="24" t="n">
        <f aca="false">-Inputs!B33</f>
        <v>-15</v>
      </c>
      <c r="C12" s="9" t="s">
        <v>131</v>
      </c>
    </row>
    <row r="13" customFormat="false" ht="15" hidden="false" customHeight="false" outlineLevel="0" collapsed="false">
      <c r="A13" s="7" t="s">
        <v>133</v>
      </c>
      <c r="B13" s="24" t="n">
        <f aca="false">-Inputs!B34</f>
        <v>-6</v>
      </c>
      <c r="C13" s="9" t="s">
        <v>131</v>
      </c>
    </row>
    <row r="14" customFormat="false" ht="15" hidden="false" customHeight="false" outlineLevel="0" collapsed="false">
      <c r="A14" s="7" t="s">
        <v>134</v>
      </c>
      <c r="B14" s="24" t="n">
        <f aca="false">-Inputs!B35*B4</f>
        <v>-8.292</v>
      </c>
      <c r="C14" s="9" t="s">
        <v>135</v>
      </c>
    </row>
    <row r="15" customFormat="false" ht="15" hidden="false" customHeight="false" outlineLevel="0" collapsed="false">
      <c r="A15" s="7" t="s">
        <v>136</v>
      </c>
      <c r="B15" s="24" t="n">
        <f aca="false">-Inputs!B36*B4</f>
        <v>-8.292</v>
      </c>
      <c r="C15" s="9" t="s">
        <v>135</v>
      </c>
    </row>
    <row r="16" customFormat="false" ht="15" hidden="false" customHeight="false" outlineLevel="0" collapsed="false">
      <c r="A16" s="31" t="s">
        <v>137</v>
      </c>
      <c r="B16" s="32" t="n">
        <f aca="false">SUM(B11:B15)</f>
        <v>-82.584</v>
      </c>
      <c r="C16" s="9" t="s">
        <v>138</v>
      </c>
    </row>
    <row r="17" customFormat="false" ht="15" hidden="false" customHeight="false" outlineLevel="0" collapsed="false">
      <c r="A17" s="31" t="s">
        <v>139</v>
      </c>
      <c r="B17" s="32" t="n">
        <f aca="false">B9+B16</f>
        <v>25.416</v>
      </c>
      <c r="C17" s="9" t="s">
        <v>140</v>
      </c>
    </row>
    <row r="18" customFormat="false" ht="15" hidden="false" customHeight="false" outlineLevel="0" collapsed="false">
      <c r="A18" s="4" t="s">
        <v>141</v>
      </c>
      <c r="B18" s="2"/>
      <c r="C18" s="2"/>
    </row>
    <row r="19" customFormat="false" ht="15" hidden="false" customHeight="false" outlineLevel="0" collapsed="false">
      <c r="A19" s="7" t="s">
        <v>142</v>
      </c>
      <c r="B19" s="30" t="n">
        <f aca="false">Inputs!B25</f>
        <v>109.382</v>
      </c>
      <c r="C19" s="9" t="s">
        <v>143</v>
      </c>
    </row>
    <row r="20" customFormat="false" ht="15" hidden="false" customHeight="false" outlineLevel="0" collapsed="false">
      <c r="A20" s="7" t="s">
        <v>144</v>
      </c>
      <c r="B20" s="24" t="n">
        <f aca="false">B19+B16</f>
        <v>26.798</v>
      </c>
      <c r="C20" s="9" t="s">
        <v>145</v>
      </c>
    </row>
    <row r="21" customFormat="false" ht="15" hidden="false" customHeight="false" outlineLevel="0" collapsed="false">
      <c r="A21" s="7" t="s">
        <v>73</v>
      </c>
      <c r="B21" s="33" t="n">
        <f aca="false">Inputs!B22</f>
        <v>1074.50192847289</v>
      </c>
      <c r="C21" s="9" t="s">
        <v>146</v>
      </c>
    </row>
    <row r="22" customFormat="false" ht="15" hidden="false" customHeight="false" outlineLevel="0" collapsed="false">
      <c r="A22" s="7" t="s">
        <v>147</v>
      </c>
      <c r="B22" s="29" t="n">
        <f aca="false">B20*B21</f>
        <v>28794.5026792166</v>
      </c>
      <c r="C22" s="9" t="s">
        <v>148</v>
      </c>
    </row>
    <row r="23" customFormat="false" ht="15" hidden="false" customHeight="false" outlineLevel="0" collapsed="false">
      <c r="A23" s="7" t="s">
        <v>149</v>
      </c>
      <c r="B23" s="29" t="n">
        <f aca="false">B22*Inputs!B48</f>
        <v>863835.080376498</v>
      </c>
      <c r="C23" s="9" t="s">
        <v>150</v>
      </c>
    </row>
    <row r="24" customFormat="false" ht="15" hidden="false" customHeight="false" outlineLevel="0" collapsed="false">
      <c r="A24" s="4" t="s">
        <v>151</v>
      </c>
      <c r="B24" s="2"/>
      <c r="C24" s="2"/>
    </row>
    <row r="25" customFormat="false" ht="15" hidden="false" customHeight="false" outlineLevel="0" collapsed="false">
      <c r="A25" s="7" t="s">
        <v>152</v>
      </c>
      <c r="B25" s="24" t="n">
        <f aca="false">B17-B20</f>
        <v>-1.38200000000001</v>
      </c>
      <c r="C25" s="9" t="s">
        <v>153</v>
      </c>
    </row>
    <row r="26" customFormat="false" ht="15" hidden="false" customHeight="false" outlineLevel="0" collapsed="false">
      <c r="A26" s="31" t="s">
        <v>154</v>
      </c>
      <c r="B26" s="34" t="n">
        <f aca="false">B25/B4</f>
        <v>-0.00200000000000001</v>
      </c>
      <c r="C26" s="9" t="s">
        <v>155</v>
      </c>
    </row>
    <row r="27" customFormat="false" ht="15" hidden="false" customHeight="false" outlineLevel="0" collapsed="false">
      <c r="A27" s="7" t="s">
        <v>156</v>
      </c>
      <c r="B27" s="29" t="n">
        <f aca="false">B25*B21</f>
        <v>-1484.96166514954</v>
      </c>
      <c r="C27" s="9"/>
    </row>
    <row r="28" customFormat="false" ht="15" hidden="false" customHeight="false" outlineLevel="0" collapsed="false">
      <c r="A28" s="7" t="s">
        <v>157</v>
      </c>
      <c r="B28" s="29" t="n">
        <f aca="false">B27*Inputs!B48</f>
        <v>-44548.8499544863</v>
      </c>
      <c r="C28" s="9"/>
    </row>
    <row r="29" customFormat="false" ht="15" hidden="false" customHeight="false" outlineLevel="0" collapsed="false">
      <c r="A29" s="7" t="s">
        <v>158</v>
      </c>
      <c r="B29" s="24" t="n">
        <f aca="false">B25*Inputs!B7/10</f>
        <v>-15.8239000000001</v>
      </c>
      <c r="C29" s="9" t="s">
        <v>159</v>
      </c>
    </row>
    <row r="30" customFormat="false" ht="15" hidden="false" customHeight="false" outlineLevel="0" collapsed="false">
      <c r="A30" s="4" t="s">
        <v>160</v>
      </c>
      <c r="B30" s="2"/>
      <c r="C30" s="2"/>
    </row>
    <row r="31" customFormat="false" ht="15" hidden="false" customHeight="false" outlineLevel="0" collapsed="false">
      <c r="A31" s="31" t="s">
        <v>9</v>
      </c>
      <c r="B31" s="35" t="n">
        <f aca="false">B22/B17</f>
        <v>1132.92818221658</v>
      </c>
      <c r="C31" s="9" t="s">
        <v>161</v>
      </c>
    </row>
    <row r="32" customFormat="false" ht="15" hidden="false" customHeight="false" outlineLevel="0" collapsed="false">
      <c r="A32" s="7" t="s">
        <v>11</v>
      </c>
      <c r="B32" s="22" t="n">
        <f aca="false">B31/B21-1</f>
        <v>0.0543751967264718</v>
      </c>
      <c r="C32" s="9"/>
    </row>
    <row r="33" customFormat="false" ht="15" hidden="false" customHeight="false" outlineLevel="0" collapsed="false">
      <c r="A33" s="7" t="s">
        <v>162</v>
      </c>
      <c r="B33" s="23" t="n">
        <f aca="false">IF(B17-Inputs!B49*B4&lt;=0,"Not reachable by volume alone",B22/(B17-Inputs!B49*B4))</f>
        <v>2483.1409692322</v>
      </c>
      <c r="C33" s="9" t="s">
        <v>163</v>
      </c>
    </row>
    <row r="34" customFormat="false" ht="15" hidden="false" customHeight="false" outlineLevel="0" collapsed="false">
      <c r="A34" s="7" t="s">
        <v>164</v>
      </c>
      <c r="B34" s="22" t="n">
        <f aca="false">IF(ISNUMBER(B33),B33/B21-1,"n/a")</f>
        <v>1.31096929975854</v>
      </c>
      <c r="C34" s="9"/>
    </row>
    <row r="35" customFormat="false" ht="15" hidden="false" customHeight="false" outlineLevel="0" collapsed="false">
      <c r="A35" s="4" t="s">
        <v>165</v>
      </c>
      <c r="B35" s="2"/>
      <c r="C35" s="2"/>
    </row>
    <row r="36" customFormat="false" ht="15" hidden="false" customHeight="false" outlineLevel="0" collapsed="false">
      <c r="A36" s="7" t="s">
        <v>166</v>
      </c>
      <c r="B36" s="36" t="n">
        <f aca="false">Inputs!B45</f>
        <v>750153.714773698</v>
      </c>
      <c r="C36" s="9" t="s">
        <v>167</v>
      </c>
    </row>
    <row r="37" customFormat="false" ht="15" hidden="false" customHeight="false" outlineLevel="0" collapsed="false">
      <c r="A37" s="7" t="s">
        <v>168</v>
      </c>
      <c r="B37" s="22" t="n">
        <f aca="false">B23/B36</f>
        <v>1.15154409471543</v>
      </c>
      <c r="C37" s="9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171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172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31" t="s">
        <v>173</v>
      </c>
      <c r="C5" s="37" t="n">
        <v>700</v>
      </c>
      <c r="D5" s="37" t="n">
        <v>900</v>
      </c>
      <c r="E5" s="10" t="n">
        <f aca="false">ROUND(Inputs!B22,0)</f>
        <v>1075</v>
      </c>
      <c r="F5" s="37" t="n">
        <v>1300</v>
      </c>
      <c r="G5" s="37" t="n">
        <v>1600</v>
      </c>
      <c r="H5" s="37" t="n">
        <v>2000</v>
      </c>
      <c r="I5" s="37" t="n">
        <v>2500</v>
      </c>
    </row>
    <row r="6" customFormat="false" ht="15" hidden="false" customHeight="false" outlineLevel="0" collapsed="false">
      <c r="A6" s="2"/>
      <c r="B6" s="38" t="n">
        <v>518</v>
      </c>
      <c r="C6" s="22" t="n">
        <f aca="false">(($B6*Inputs!$B$39+Inputs!$B$29+Inputs!$B$30-Inputs!$B$31-Inputs!$B$32-Inputs!$B$33-Inputs!$B$34-$B6*(Inputs!$B$35+Inputs!$B$36))-Model!$B$22/C$5)/$B6</f>
        <v>-0.0667959245589167</v>
      </c>
      <c r="D6" s="22" t="n">
        <f aca="false">(($B6*Inputs!$B$39+Inputs!$B$29+Inputs!$B$30-Inputs!$B$31-Inputs!$B$32-Inputs!$B$33-Inputs!$B$34-$B6*(Inputs!$B$35+Inputs!$B$36))-Model!$B$22/D$5)/$B6</f>
        <v>-0.0491489902700054</v>
      </c>
      <c r="E6" s="22" t="n">
        <f aca="false">(($B6*Inputs!$B$39+Inputs!$B$29+Inputs!$B$30-Inputs!$B$31-Inputs!$B$32-Inputs!$B$33-Inputs!$B$34-$B6*(Inputs!$B$35+Inputs!$B$36))-Model!$B$22/E$5)/$B6</f>
        <v>-0.0390943416635327</v>
      </c>
      <c r="F6" s="22" t="n">
        <f aca="false">(($B6*Inputs!$B$39+Inputs!$B$29+Inputs!$B$30-Inputs!$B$31-Inputs!$B$32-Inputs!$B$33-Inputs!$B$34-$B6*(Inputs!$B$35+Inputs!$B$36))-Model!$B$22/F$5)/$B6</f>
        <v>-0.0301445994973317</v>
      </c>
      <c r="G6" s="22" t="n">
        <f aca="false">(($B6*Inputs!$B$39+Inputs!$B$29+Inputs!$B$30-Inputs!$B$31-Inputs!$B$32-Inputs!$B$33-Inputs!$B$34-$B6*(Inputs!$B$35+Inputs!$B$36))-Model!$B$22/G$5)/$B6</f>
        <v>-0.0221271221401099</v>
      </c>
      <c r="H6" s="22" t="n">
        <f aca="false">(($B6*Inputs!$B$39+Inputs!$B$29+Inputs!$B$30-Inputs!$B$31-Inputs!$B$32-Inputs!$B$33-Inputs!$B$34-$B6*(Inputs!$B$35+Inputs!$B$36))-Model!$B$22/H$5)/$B6</f>
        <v>-0.0151786417638511</v>
      </c>
      <c r="I6" s="22" t="n">
        <f aca="false">(($B6*Inputs!$B$39+Inputs!$B$29+Inputs!$B$30-Inputs!$B$31-Inputs!$B$32-Inputs!$B$33-Inputs!$B$34-$B6*(Inputs!$B$35+Inputs!$B$36))-Model!$B$22/I$5)/$B6</f>
        <v>-0.00961985746284404</v>
      </c>
    </row>
    <row r="7" customFormat="false" ht="15" hidden="false" customHeight="false" outlineLevel="0" collapsed="false">
      <c r="A7" s="2"/>
      <c r="B7" s="38" t="n">
        <v>600</v>
      </c>
      <c r="C7" s="22" t="n">
        <f aca="false">(($B7*Inputs!$B$39+Inputs!$B$29+Inputs!$B$30-Inputs!$B$31-Inputs!$B$32-Inputs!$B$33-Inputs!$B$34-$B7*(Inputs!$B$35+Inputs!$B$36))-Model!$B$22/C$5)/$B7</f>
        <v>-0.0427512967794731</v>
      </c>
      <c r="D7" s="22" t="n">
        <f aca="false">(($B7*Inputs!$B$39+Inputs!$B$29+Inputs!$B$30-Inputs!$B$31-Inputs!$B$32-Inputs!$B$33-Inputs!$B$34-$B7*(Inputs!$B$35+Inputs!$B$36))-Model!$B$22/D$5)/$B7</f>
        <v>-0.027516110176713</v>
      </c>
      <c r="E7" s="22" t="n">
        <f aca="false">(($B7*Inputs!$B$39+Inputs!$B$29+Inputs!$B$30-Inputs!$B$31-Inputs!$B$32-Inputs!$B$33-Inputs!$B$34-$B7*(Inputs!$B$35+Inputs!$B$36))-Model!$B$22/E$5)/$B7</f>
        <v>-0.0188355968797915</v>
      </c>
      <c r="F7" s="22" t="n">
        <f aca="false">(($B7*Inputs!$B$39+Inputs!$B$29+Inputs!$B$30-Inputs!$B$31-Inputs!$B$32-Inputs!$B$33-Inputs!$B$34-$B7*(Inputs!$B$35+Inputs!$B$36))-Model!$B$22/F$5)/$B7</f>
        <v>-0.0111089861429713</v>
      </c>
      <c r="G7" s="22" t="n">
        <f aca="false">(($B7*Inputs!$B$39+Inputs!$B$29+Inputs!$B$30-Inputs!$B$31-Inputs!$B$32-Inputs!$B$33-Inputs!$B$34-$B7*(Inputs!$B$35+Inputs!$B$36))-Model!$B$22/G$5)/$B7</f>
        <v>-0.00418723069123653</v>
      </c>
      <c r="H7" s="22" t="n">
        <f aca="false">(($B7*Inputs!$B$39+Inputs!$B$29+Inputs!$B$30-Inputs!$B$31-Inputs!$B$32-Inputs!$B$33-Inputs!$B$34-$B7*(Inputs!$B$35+Inputs!$B$36))-Model!$B$22/H$5)/$B7</f>
        <v>0.00181162403360026</v>
      </c>
      <c r="I7" s="22" t="n">
        <f aca="false">(($B7*Inputs!$B$39+Inputs!$B$29+Inputs!$B$30-Inputs!$B$31-Inputs!$B$32-Inputs!$B$33-Inputs!$B$34-$B7*(Inputs!$B$35+Inputs!$B$36))-Model!$B$22/I$5)/$B7</f>
        <v>0.00661070781346969</v>
      </c>
    </row>
    <row r="8" customFormat="false" ht="15" hidden="false" customHeight="false" outlineLevel="0" collapsed="false">
      <c r="A8" s="2"/>
      <c r="B8" s="13" t="n">
        <f aca="false">Inputs!B8</f>
        <v>691</v>
      </c>
      <c r="C8" s="22" t="n">
        <f aca="false">(($B8*Inputs!$B$39+Inputs!$B$29+Inputs!$B$30-Inputs!$B$31-Inputs!$B$32-Inputs!$B$33-Inputs!$B$34-$B8*(Inputs!$B$35+Inputs!$B$36))-Model!$B$22/C$5)/$B8</f>
        <v>-0.0227481965665011</v>
      </c>
      <c r="D8" s="22" t="n">
        <f aca="false">(($B8*Inputs!$B$39+Inputs!$B$29+Inputs!$B$30-Inputs!$B$31-Inputs!$B$32-Inputs!$B$33-Inputs!$B$34-$B8*(Inputs!$B$35+Inputs!$B$36))-Model!$B$22/D$5)/$B8</f>
        <v>-0.00951938041359801</v>
      </c>
      <c r="E8" s="22" t="n">
        <f aca="false">(($B8*Inputs!$B$39+Inputs!$B$29+Inputs!$B$30-Inputs!$B$31-Inputs!$B$32-Inputs!$B$33-Inputs!$B$34-$B8*(Inputs!$B$35+Inputs!$B$36))-Model!$B$22/E$5)/$B8</f>
        <v>-0.00198203167531599</v>
      </c>
      <c r="F8" s="22" t="n">
        <f aca="false">(($B8*Inputs!$B$39+Inputs!$B$29+Inputs!$B$30-Inputs!$B$31-Inputs!$B$32-Inputs!$B$33-Inputs!$B$34-$B8*(Inputs!$B$35+Inputs!$B$36))-Model!$B$22/F$5)/$B8</f>
        <v>0.00472703698183613</v>
      </c>
      <c r="G8" s="22" t="n">
        <f aca="false">(($B8*Inputs!$B$39+Inputs!$B$29+Inputs!$B$30-Inputs!$B$31-Inputs!$B$32-Inputs!$B$33-Inputs!$B$34-$B8*(Inputs!$B$35+Inputs!$B$36))-Model!$B$22/G$5)/$B8</f>
        <v>0.0107372443205349</v>
      </c>
      <c r="H8" s="22" t="n">
        <f aca="false">(($B8*Inputs!$B$39+Inputs!$B$29+Inputs!$B$30-Inputs!$B$31-Inputs!$B$32-Inputs!$B$33-Inputs!$B$34-$B8*(Inputs!$B$35+Inputs!$B$36))-Model!$B$22/H$5)/$B8</f>
        <v>0.0159460906807405</v>
      </c>
      <c r="I8" s="22" t="n">
        <f aca="false">(($B8*Inputs!$B$39+Inputs!$B$29+Inputs!$B$30-Inputs!$B$31-Inputs!$B$32-Inputs!$B$33-Inputs!$B$34-$B8*(Inputs!$B$35+Inputs!$B$36))-Model!$B$22/I$5)/$B8</f>
        <v>0.020113167768905</v>
      </c>
    </row>
    <row r="9" customFormat="false" ht="15" hidden="false" customHeight="false" outlineLevel="0" collapsed="false">
      <c r="A9" s="2"/>
      <c r="B9" s="38" t="n">
        <v>800</v>
      </c>
      <c r="C9" s="22" t="n">
        <f aca="false">(($B9*Inputs!$B$39+Inputs!$B$29+Inputs!$B$30-Inputs!$B$31-Inputs!$B$32-Inputs!$B$33-Inputs!$B$34-$B9*(Inputs!$B$35+Inputs!$B$36))-Model!$B$22/C$5)/$B9</f>
        <v>-0.00477837851803462</v>
      </c>
      <c r="D9" s="22" t="n">
        <f aca="false">(($B9*Inputs!$B$39+Inputs!$B$29+Inputs!$B$30-Inputs!$B$31-Inputs!$B$32-Inputs!$B$33-Inputs!$B$34-$B9*(Inputs!$B$35+Inputs!$B$36))-Model!$B$22/D$5)/$B9</f>
        <v>0.00664801143403546</v>
      </c>
      <c r="E9" s="22" t="n">
        <f aca="false">(($B9*Inputs!$B$39+Inputs!$B$29+Inputs!$B$30-Inputs!$B$31-Inputs!$B$32-Inputs!$B$33-Inputs!$B$34-$B9*(Inputs!$B$35+Inputs!$B$36))-Model!$B$22/E$5)/$B9</f>
        <v>0.0131583964067266</v>
      </c>
      <c r="F9" s="22" t="n">
        <f aca="false">(($B9*Inputs!$B$39+Inputs!$B$29+Inputs!$B$30-Inputs!$B$31-Inputs!$B$32-Inputs!$B$33-Inputs!$B$34-$B9*(Inputs!$B$35+Inputs!$B$36))-Model!$B$22/F$5)/$B9</f>
        <v>0.0189533544593417</v>
      </c>
      <c r="G9" s="22" t="n">
        <f aca="false">(($B9*Inputs!$B$39+Inputs!$B$29+Inputs!$B$30-Inputs!$B$31-Inputs!$B$32-Inputs!$B$33-Inputs!$B$34-$B9*(Inputs!$B$35+Inputs!$B$36))-Model!$B$22/G$5)/$B9</f>
        <v>0.0241446710481428</v>
      </c>
      <c r="H9" s="22" t="n">
        <f aca="false">(($B9*Inputs!$B$39+Inputs!$B$29+Inputs!$B$30-Inputs!$B$31-Inputs!$B$32-Inputs!$B$33-Inputs!$B$34-$B9*(Inputs!$B$35+Inputs!$B$36))-Model!$B$22/H$5)/$B9</f>
        <v>0.0286438120917704</v>
      </c>
      <c r="I9" s="22" t="n">
        <f aca="false">(($B9*Inputs!$B$39+Inputs!$B$29+Inputs!$B$30-Inputs!$B$31-Inputs!$B$32-Inputs!$B$33-Inputs!$B$34-$B9*(Inputs!$B$35+Inputs!$B$36))-Model!$B$22/I$5)/$B9</f>
        <v>0.0322431249266724</v>
      </c>
    </row>
    <row r="10" customFormat="false" ht="15" hidden="false" customHeight="false" outlineLevel="0" collapsed="false">
      <c r="A10" s="2"/>
      <c r="B10" s="38" t="n">
        <v>900</v>
      </c>
      <c r="C10" s="22" t="n">
        <f aca="false">(($B10*Inputs!$B$39+Inputs!$B$29+Inputs!$B$30-Inputs!$B$31-Inputs!$B$32-Inputs!$B$33-Inputs!$B$34-$B10*(Inputs!$B$35+Inputs!$B$36))-Model!$B$22/C$5)/$B10</f>
        <v>0.00787926090244488</v>
      </c>
      <c r="D10" s="22" t="n">
        <f aca="false">(($B10*Inputs!$B$39+Inputs!$B$29+Inputs!$B$30-Inputs!$B$31-Inputs!$B$32-Inputs!$B$33-Inputs!$B$34-$B10*(Inputs!$B$35+Inputs!$B$36))-Model!$B$22/D$5)/$B10</f>
        <v>0.0180360519709516</v>
      </c>
      <c r="E10" s="22" t="n">
        <f aca="false">(($B10*Inputs!$B$39+Inputs!$B$29+Inputs!$B$30-Inputs!$B$31-Inputs!$B$32-Inputs!$B$33-Inputs!$B$34-$B10*(Inputs!$B$35+Inputs!$B$36))-Model!$B$22/E$5)/$B10</f>
        <v>0.0238230608355659</v>
      </c>
      <c r="F10" s="22" t="n">
        <f aca="false">(($B10*Inputs!$B$39+Inputs!$B$29+Inputs!$B$30-Inputs!$B$31-Inputs!$B$32-Inputs!$B$33-Inputs!$B$34-$B10*(Inputs!$B$35+Inputs!$B$36))-Model!$B$22/F$5)/$B10</f>
        <v>0.0289741346601127</v>
      </c>
      <c r="G10" s="22" t="n">
        <f aca="false">(($B10*Inputs!$B$39+Inputs!$B$29+Inputs!$B$30-Inputs!$B$31-Inputs!$B$32-Inputs!$B$33-Inputs!$B$34-$B10*(Inputs!$B$35+Inputs!$B$36))-Model!$B$22/G$5)/$B10</f>
        <v>0.0335886382946026</v>
      </c>
      <c r="H10" s="22" t="n">
        <f aca="false">(($B10*Inputs!$B$39+Inputs!$B$29+Inputs!$B$30-Inputs!$B$31-Inputs!$B$32-Inputs!$B$33-Inputs!$B$34-$B10*(Inputs!$B$35+Inputs!$B$36))-Model!$B$22/H$5)/$B10</f>
        <v>0.0375878747778271</v>
      </c>
      <c r="I10" s="22" t="n">
        <f aca="false">(($B10*Inputs!$B$39+Inputs!$B$29+Inputs!$B$30-Inputs!$B$31-Inputs!$B$32-Inputs!$B$33-Inputs!$B$34-$B10*(Inputs!$B$35+Inputs!$B$36))-Model!$B$22/I$5)/$B10</f>
        <v>0.0407872639644067</v>
      </c>
    </row>
    <row r="11" customFormat="false" ht="15" hidden="false" customHeight="false" outlineLevel="0" collapsed="false">
      <c r="A11" s="2"/>
      <c r="B11" s="9" t="s">
        <v>174</v>
      </c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4" t="s">
        <v>175</v>
      </c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31" t="s">
        <v>176</v>
      </c>
      <c r="C14" s="38" t="n">
        <v>0</v>
      </c>
      <c r="D14" s="38" t="n">
        <v>3</v>
      </c>
      <c r="E14" s="13" t="n">
        <f aca="false">Inputs!B31</f>
        <v>6</v>
      </c>
      <c r="F14" s="38" t="n">
        <v>10</v>
      </c>
      <c r="G14" s="38" t="n">
        <v>15</v>
      </c>
      <c r="H14" s="38" t="n">
        <v>20</v>
      </c>
      <c r="I14" s="38" t="n">
        <v>30</v>
      </c>
    </row>
    <row r="15" customFormat="false" ht="15" hidden="false" customHeight="false" outlineLevel="0" collapsed="false">
      <c r="A15" s="2"/>
      <c r="B15" s="38" t="n">
        <v>0</v>
      </c>
      <c r="C15" s="22" t="n">
        <f aca="false">((Inputs!$B$8*Inputs!$B$39+$B15+Inputs!$B$30-C$14-Inputs!$B$32-Inputs!$B$33-Inputs!$B$34-Inputs!$B$8*(Inputs!$B$35+Inputs!$B$36))-Model!$B$22/Inputs!$B$22)/Inputs!$B$8</f>
        <v>-0.0106830680173661</v>
      </c>
      <c r="D15" s="22" t="n">
        <f aca="false">((Inputs!$B$8*Inputs!$B$39+$B15+Inputs!$B$30-D$14-Inputs!$B$32-Inputs!$B$33-Inputs!$B$34-Inputs!$B$8*(Inputs!$B$35+Inputs!$B$36))-Model!$B$22/Inputs!$B$22)/Inputs!$B$8</f>
        <v>-0.0150246020260492</v>
      </c>
      <c r="E15" s="22" t="n">
        <f aca="false">((Inputs!$B$8*Inputs!$B$39+$B15+Inputs!$B$30-E$14-Inputs!$B$32-Inputs!$B$33-Inputs!$B$34-Inputs!$B$8*(Inputs!$B$35+Inputs!$B$36))-Model!$B$22/Inputs!$B$22)/Inputs!$B$8</f>
        <v>-0.0193661360347323</v>
      </c>
      <c r="F15" s="22" t="n">
        <f aca="false">((Inputs!$B$8*Inputs!$B$39+$B15+Inputs!$B$30-F$14-Inputs!$B$32-Inputs!$B$33-Inputs!$B$34-Inputs!$B$8*(Inputs!$B$35+Inputs!$B$36))-Model!$B$22/Inputs!$B$22)/Inputs!$B$8</f>
        <v>-0.0251548480463097</v>
      </c>
      <c r="G15" s="22" t="n">
        <f aca="false">((Inputs!$B$8*Inputs!$B$39+$B15+Inputs!$B$30-G$14-Inputs!$B$32-Inputs!$B$33-Inputs!$B$34-Inputs!$B$8*(Inputs!$B$35+Inputs!$B$36))-Model!$B$22/Inputs!$B$22)/Inputs!$B$8</f>
        <v>-0.0323907380607815</v>
      </c>
      <c r="H15" s="22" t="n">
        <f aca="false">((Inputs!$B$8*Inputs!$B$39+$B15+Inputs!$B$30-H$14-Inputs!$B$32-Inputs!$B$33-Inputs!$B$34-Inputs!$B$8*(Inputs!$B$35+Inputs!$B$36))-Model!$B$22/Inputs!$B$22)/Inputs!$B$8</f>
        <v>-0.0396266280752533</v>
      </c>
      <c r="I15" s="22" t="n">
        <f aca="false">((Inputs!$B$8*Inputs!$B$39+$B15+Inputs!$B$30-I$14-Inputs!$B$32-Inputs!$B$33-Inputs!$B$34-Inputs!$B$8*(Inputs!$B$35+Inputs!$B$36))-Model!$B$22/Inputs!$B$22)/Inputs!$B$8</f>
        <v>-0.0540984081041968</v>
      </c>
    </row>
    <row r="16" customFormat="false" ht="15" hidden="false" customHeight="false" outlineLevel="0" collapsed="false">
      <c r="A16" s="2"/>
      <c r="B16" s="13" t="n">
        <f aca="false">Inputs!B29</f>
        <v>12</v>
      </c>
      <c r="C16" s="22" t="n">
        <f aca="false">((Inputs!$B$8*Inputs!$B$39+$B16+Inputs!$B$30-C$14-Inputs!$B$32-Inputs!$B$33-Inputs!$B$34-Inputs!$B$8*(Inputs!$B$35+Inputs!$B$36))-Model!$B$22/Inputs!$B$22)/Inputs!$B$8</f>
        <v>0.00668306801736613</v>
      </c>
      <c r="D16" s="22" t="n">
        <f aca="false">((Inputs!$B$8*Inputs!$B$39+$B16+Inputs!$B$30-D$14-Inputs!$B$32-Inputs!$B$33-Inputs!$B$34-Inputs!$B$8*(Inputs!$B$35+Inputs!$B$36))-Model!$B$22/Inputs!$B$22)/Inputs!$B$8</f>
        <v>0.00234153400868307</v>
      </c>
      <c r="E16" s="22" t="n">
        <f aca="false">((Inputs!$B$8*Inputs!$B$39+$B16+Inputs!$B$30-E$14-Inputs!$B$32-Inputs!$B$33-Inputs!$B$34-Inputs!$B$8*(Inputs!$B$35+Inputs!$B$36))-Model!$B$22/Inputs!$B$22)/Inputs!$B$8</f>
        <v>-0.002</v>
      </c>
      <c r="F16" s="22" t="n">
        <f aca="false">((Inputs!$B$8*Inputs!$B$39+$B16+Inputs!$B$30-F$14-Inputs!$B$32-Inputs!$B$33-Inputs!$B$34-Inputs!$B$8*(Inputs!$B$35+Inputs!$B$36))-Model!$B$22/Inputs!$B$22)/Inputs!$B$8</f>
        <v>-0.00778871201157743</v>
      </c>
      <c r="G16" s="22" t="n">
        <f aca="false">((Inputs!$B$8*Inputs!$B$39+$B16+Inputs!$B$30-G$14-Inputs!$B$32-Inputs!$B$33-Inputs!$B$34-Inputs!$B$8*(Inputs!$B$35+Inputs!$B$36))-Model!$B$22/Inputs!$B$22)/Inputs!$B$8</f>
        <v>-0.0150246020260492</v>
      </c>
      <c r="H16" s="22" t="n">
        <f aca="false">((Inputs!$B$8*Inputs!$B$39+$B16+Inputs!$B$30-H$14-Inputs!$B$32-Inputs!$B$33-Inputs!$B$34-Inputs!$B$8*(Inputs!$B$35+Inputs!$B$36))-Model!$B$22/Inputs!$B$22)/Inputs!$B$8</f>
        <v>-0.022260492040521</v>
      </c>
      <c r="I16" s="22" t="n">
        <f aca="false">((Inputs!$B$8*Inputs!$B$39+$B16+Inputs!$B$30-I$14-Inputs!$B$32-Inputs!$B$33-Inputs!$B$34-Inputs!$B$8*(Inputs!$B$35+Inputs!$B$36))-Model!$B$22/Inputs!$B$22)/Inputs!$B$8</f>
        <v>-0.0367322720694646</v>
      </c>
    </row>
    <row r="17" customFormat="false" ht="15" hidden="false" customHeight="false" outlineLevel="0" collapsed="false">
      <c r="A17" s="2"/>
      <c r="B17" s="38" t="n">
        <v>20</v>
      </c>
      <c r="C17" s="22" t="n">
        <f aca="false">((Inputs!$B$8*Inputs!$B$39+$B17+Inputs!$B$30-C$14-Inputs!$B$32-Inputs!$B$33-Inputs!$B$34-Inputs!$B$8*(Inputs!$B$35+Inputs!$B$36))-Model!$B$22/Inputs!$B$22)/Inputs!$B$8</f>
        <v>0.018260492040521</v>
      </c>
      <c r="D17" s="22" t="n">
        <f aca="false">((Inputs!$B$8*Inputs!$B$39+$B17+Inputs!$B$30-D$14-Inputs!$B$32-Inputs!$B$33-Inputs!$B$34-Inputs!$B$8*(Inputs!$B$35+Inputs!$B$36))-Model!$B$22/Inputs!$B$22)/Inputs!$B$8</f>
        <v>0.0139189580318379</v>
      </c>
      <c r="E17" s="22" t="n">
        <f aca="false">((Inputs!$B$8*Inputs!$B$39+$B17+Inputs!$B$30-E$14-Inputs!$B$32-Inputs!$B$33-Inputs!$B$34-Inputs!$B$8*(Inputs!$B$35+Inputs!$B$36))-Model!$B$22/Inputs!$B$22)/Inputs!$B$8</f>
        <v>0.00957742402315484</v>
      </c>
      <c r="F17" s="22" t="n">
        <f aca="false">((Inputs!$B$8*Inputs!$B$39+$B17+Inputs!$B$30-F$14-Inputs!$B$32-Inputs!$B$33-Inputs!$B$34-Inputs!$B$8*(Inputs!$B$35+Inputs!$B$36))-Model!$B$22/Inputs!$B$22)/Inputs!$B$8</f>
        <v>0.00378871201157742</v>
      </c>
      <c r="G17" s="22" t="n">
        <f aca="false">((Inputs!$B$8*Inputs!$B$39+$B17+Inputs!$B$30-G$14-Inputs!$B$32-Inputs!$B$33-Inputs!$B$34-Inputs!$B$8*(Inputs!$B$35+Inputs!$B$36))-Model!$B$22/Inputs!$B$22)/Inputs!$B$8</f>
        <v>-0.00344717800289436</v>
      </c>
      <c r="H17" s="22" t="n">
        <f aca="false">((Inputs!$B$8*Inputs!$B$39+$B17+Inputs!$B$30-H$14-Inputs!$B$32-Inputs!$B$33-Inputs!$B$34-Inputs!$B$8*(Inputs!$B$35+Inputs!$B$36))-Model!$B$22/Inputs!$B$22)/Inputs!$B$8</f>
        <v>-0.0106830680173661</v>
      </c>
      <c r="I17" s="22" t="n">
        <f aca="false">((Inputs!$B$8*Inputs!$B$39+$B17+Inputs!$B$30-I$14-Inputs!$B$32-Inputs!$B$33-Inputs!$B$34-Inputs!$B$8*(Inputs!$B$35+Inputs!$B$36))-Model!$B$22/Inputs!$B$22)/Inputs!$B$8</f>
        <v>-0.0251548480463097</v>
      </c>
    </row>
    <row r="18" customFormat="false" ht="15" hidden="false" customHeight="false" outlineLevel="0" collapsed="false">
      <c r="A18" s="2"/>
      <c r="B18" s="38" t="n">
        <v>30</v>
      </c>
      <c r="C18" s="22" t="n">
        <f aca="false">((Inputs!$B$8*Inputs!$B$39+$B18+Inputs!$B$30-C$14-Inputs!$B$32-Inputs!$B$33-Inputs!$B$34-Inputs!$B$8*(Inputs!$B$35+Inputs!$B$36))-Model!$B$22/Inputs!$B$22)/Inputs!$B$8</f>
        <v>0.0327322720694645</v>
      </c>
      <c r="D18" s="22" t="n">
        <f aca="false">((Inputs!$B$8*Inputs!$B$39+$B18+Inputs!$B$30-D$14-Inputs!$B$32-Inputs!$B$33-Inputs!$B$34-Inputs!$B$8*(Inputs!$B$35+Inputs!$B$36))-Model!$B$22/Inputs!$B$22)/Inputs!$B$8</f>
        <v>0.0283907380607815</v>
      </c>
      <c r="E18" s="22" t="n">
        <f aca="false">((Inputs!$B$8*Inputs!$B$39+$B18+Inputs!$B$30-E$14-Inputs!$B$32-Inputs!$B$33-Inputs!$B$34-Inputs!$B$8*(Inputs!$B$35+Inputs!$B$36))-Model!$B$22/Inputs!$B$22)/Inputs!$B$8</f>
        <v>0.0240492040520984</v>
      </c>
      <c r="F18" s="22" t="n">
        <f aca="false">((Inputs!$B$8*Inputs!$B$39+$B18+Inputs!$B$30-F$14-Inputs!$B$32-Inputs!$B$33-Inputs!$B$34-Inputs!$B$8*(Inputs!$B$35+Inputs!$B$36))-Model!$B$22/Inputs!$B$22)/Inputs!$B$8</f>
        <v>0.018260492040521</v>
      </c>
      <c r="G18" s="22" t="n">
        <f aca="false">((Inputs!$B$8*Inputs!$B$39+$B18+Inputs!$B$30-G$14-Inputs!$B$32-Inputs!$B$33-Inputs!$B$34-Inputs!$B$8*(Inputs!$B$35+Inputs!$B$36))-Model!$B$22/Inputs!$B$22)/Inputs!$B$8</f>
        <v>0.0110246020260492</v>
      </c>
      <c r="H18" s="22" t="n">
        <f aca="false">((Inputs!$B$8*Inputs!$B$39+$B18+Inputs!$B$30-H$14-Inputs!$B$32-Inputs!$B$33-Inputs!$B$34-Inputs!$B$8*(Inputs!$B$35+Inputs!$B$36))-Model!$B$22/Inputs!$B$22)/Inputs!$B$8</f>
        <v>0.00378871201157742</v>
      </c>
      <c r="I18" s="22" t="n">
        <f aca="false">((Inputs!$B$8*Inputs!$B$39+$B18+Inputs!$B$30-I$14-Inputs!$B$32-Inputs!$B$33-Inputs!$B$34-Inputs!$B$8*(Inputs!$B$35+Inputs!$B$36))-Model!$B$22/Inputs!$B$22)/Inputs!$B$8</f>
        <v>-0.0106830680173661</v>
      </c>
    </row>
    <row r="19" customFormat="false" ht="15" hidden="false" customHeight="false" outlineLevel="0" collapsed="false">
      <c r="A19" s="2"/>
      <c r="B19" s="38" t="n">
        <v>40</v>
      </c>
      <c r="C19" s="22" t="n">
        <f aca="false">((Inputs!$B$8*Inputs!$B$39+$B19+Inputs!$B$30-C$14-Inputs!$B$32-Inputs!$B$33-Inputs!$B$34-Inputs!$B$8*(Inputs!$B$35+Inputs!$B$36))-Model!$B$22/Inputs!$B$22)/Inputs!$B$8</f>
        <v>0.0472040520984081</v>
      </c>
      <c r="D19" s="22" t="n">
        <f aca="false">((Inputs!$B$8*Inputs!$B$39+$B19+Inputs!$B$30-D$14-Inputs!$B$32-Inputs!$B$33-Inputs!$B$34-Inputs!$B$8*(Inputs!$B$35+Inputs!$B$36))-Model!$B$22/Inputs!$B$22)/Inputs!$B$8</f>
        <v>0.042862518089725</v>
      </c>
      <c r="E19" s="22" t="n">
        <f aca="false">((Inputs!$B$8*Inputs!$B$39+$B19+Inputs!$B$30-E$14-Inputs!$B$32-Inputs!$B$33-Inputs!$B$34-Inputs!$B$8*(Inputs!$B$35+Inputs!$B$36))-Model!$B$22/Inputs!$B$22)/Inputs!$B$8</f>
        <v>0.038520984081042</v>
      </c>
      <c r="F19" s="22" t="n">
        <f aca="false">((Inputs!$B$8*Inputs!$B$39+$B19+Inputs!$B$30-F$14-Inputs!$B$32-Inputs!$B$33-Inputs!$B$34-Inputs!$B$8*(Inputs!$B$35+Inputs!$B$36))-Model!$B$22/Inputs!$B$22)/Inputs!$B$8</f>
        <v>0.0327322720694645</v>
      </c>
      <c r="G19" s="22" t="n">
        <f aca="false">((Inputs!$B$8*Inputs!$B$39+$B19+Inputs!$B$30-G$14-Inputs!$B$32-Inputs!$B$33-Inputs!$B$34-Inputs!$B$8*(Inputs!$B$35+Inputs!$B$36))-Model!$B$22/Inputs!$B$22)/Inputs!$B$8</f>
        <v>0.0254963820549928</v>
      </c>
      <c r="H19" s="22" t="n">
        <f aca="false">((Inputs!$B$8*Inputs!$B$39+$B19+Inputs!$B$30-H$14-Inputs!$B$32-Inputs!$B$33-Inputs!$B$34-Inputs!$B$8*(Inputs!$B$35+Inputs!$B$36))-Model!$B$22/Inputs!$B$22)/Inputs!$B$8</f>
        <v>0.018260492040521</v>
      </c>
      <c r="I19" s="22" t="n">
        <f aca="false">((Inputs!$B$8*Inputs!$B$39+$B19+Inputs!$B$30-I$14-Inputs!$B$32-Inputs!$B$33-Inputs!$B$34-Inputs!$B$8*(Inputs!$B$35+Inputs!$B$36))-Model!$B$22/Inputs!$B$22)/Inputs!$B$8</f>
        <v>0.00378871201157742</v>
      </c>
    </row>
    <row r="20" customFormat="false" ht="15" hidden="false" customHeight="false" outlineLevel="0" collapsed="false">
      <c r="A20" s="2"/>
      <c r="B20" s="38" t="n">
        <v>50</v>
      </c>
      <c r="C20" s="22" t="n">
        <f aca="false">((Inputs!$B$8*Inputs!$B$39+$B20+Inputs!$B$30-C$14-Inputs!$B$32-Inputs!$B$33-Inputs!$B$34-Inputs!$B$8*(Inputs!$B$35+Inputs!$B$36))-Model!$B$22/Inputs!$B$22)/Inputs!$B$8</f>
        <v>0.0616758321273517</v>
      </c>
      <c r="D20" s="22" t="n">
        <f aca="false">((Inputs!$B$8*Inputs!$B$39+$B20+Inputs!$B$30-D$14-Inputs!$B$32-Inputs!$B$33-Inputs!$B$34-Inputs!$B$8*(Inputs!$B$35+Inputs!$B$36))-Model!$B$22/Inputs!$B$22)/Inputs!$B$8</f>
        <v>0.0573342981186686</v>
      </c>
      <c r="E20" s="22" t="n">
        <f aca="false">((Inputs!$B$8*Inputs!$B$39+$B20+Inputs!$B$30-E$14-Inputs!$B$32-Inputs!$B$33-Inputs!$B$34-Inputs!$B$8*(Inputs!$B$35+Inputs!$B$36))-Model!$B$22/Inputs!$B$22)/Inputs!$B$8</f>
        <v>0.0529927641099855</v>
      </c>
      <c r="F20" s="22" t="n">
        <f aca="false">((Inputs!$B$8*Inputs!$B$39+$B20+Inputs!$B$30-F$14-Inputs!$B$32-Inputs!$B$33-Inputs!$B$34-Inputs!$B$8*(Inputs!$B$35+Inputs!$B$36))-Model!$B$22/Inputs!$B$22)/Inputs!$B$8</f>
        <v>0.0472040520984081</v>
      </c>
      <c r="G20" s="22" t="n">
        <f aca="false">((Inputs!$B$8*Inputs!$B$39+$B20+Inputs!$B$30-G$14-Inputs!$B$32-Inputs!$B$33-Inputs!$B$34-Inputs!$B$8*(Inputs!$B$35+Inputs!$B$36))-Model!$B$22/Inputs!$B$22)/Inputs!$B$8</f>
        <v>0.0399681620839363</v>
      </c>
      <c r="H20" s="22" t="n">
        <f aca="false">((Inputs!$B$8*Inputs!$B$39+$B20+Inputs!$B$30-H$14-Inputs!$B$32-Inputs!$B$33-Inputs!$B$34-Inputs!$B$8*(Inputs!$B$35+Inputs!$B$36))-Model!$B$22/Inputs!$B$22)/Inputs!$B$8</f>
        <v>0.0327322720694645</v>
      </c>
      <c r="I20" s="22" t="n">
        <f aca="false">((Inputs!$B$8*Inputs!$B$39+$B20+Inputs!$B$30-I$14-Inputs!$B$32-Inputs!$B$33-Inputs!$B$34-Inputs!$B$8*(Inputs!$B$35+Inputs!$B$36))-Model!$B$22/Inputs!$B$22)/Inputs!$B$8</f>
        <v>0.018260492040521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4" t="s">
        <v>177</v>
      </c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31" t="s">
        <v>178</v>
      </c>
      <c r="C23" s="38" t="n">
        <v>35</v>
      </c>
      <c r="D23" s="38" t="n">
        <v>40</v>
      </c>
      <c r="E23" s="13" t="n">
        <f aca="false">Inputs!B32</f>
        <v>45</v>
      </c>
      <c r="F23" s="38" t="n">
        <v>50</v>
      </c>
      <c r="G23" s="38" t="n">
        <v>55</v>
      </c>
      <c r="H23" s="38" t="n">
        <v>60</v>
      </c>
      <c r="I23" s="2"/>
    </row>
    <row r="24" customFormat="false" ht="15" hidden="false" customHeight="false" outlineLevel="0" collapsed="false">
      <c r="A24" s="2"/>
      <c r="B24" s="38" t="n">
        <v>518</v>
      </c>
      <c r="C24" s="23" t="n">
        <f aca="false">IF(($B24*Inputs!$B$39+Inputs!$B$29+Inputs!$B$30-Inputs!$B$31-C$23-Inputs!$B$33-Inputs!$B$34-$B24*(Inputs!$B$35+Inputs!$B$36))&lt;=0,"n/a",Model!$B$22/($B24*Inputs!$B$39+Inputs!$B$29+Inputs!$B$30-Inputs!$B$31-C$23-Inputs!$B$33-Inputs!$B$34-$B24*(Inputs!$B$35+Inputs!$B$36)))</f>
        <v>1741.45746346578</v>
      </c>
      <c r="D24" s="23" t="n">
        <f aca="false">IF(($B24*Inputs!$B$39+Inputs!$B$29+Inputs!$B$30-Inputs!$B$31-D$23-Inputs!$B$33-Inputs!$B$34-$B24*(Inputs!$B$35+Inputs!$B$36))&lt;=0,"n/a",Model!$B$22/($B24*Inputs!$B$39+Inputs!$B$29+Inputs!$B$30-Inputs!$B$31-D$23-Inputs!$B$33-Inputs!$B$34-$B24*(Inputs!$B$35+Inputs!$B$36)))</f>
        <v>2496.33414558038</v>
      </c>
      <c r="E24" s="23" t="n">
        <f aca="false">IF(($B24*Inputs!$B$39+Inputs!$B$29+Inputs!$B$30-Inputs!$B$31-E$23-Inputs!$B$33-Inputs!$B$34-$B24*(Inputs!$B$35+Inputs!$B$36))&lt;=0,"n/a",Model!$B$22/($B24*Inputs!$B$39+Inputs!$B$29+Inputs!$B$30-Inputs!$B$31-E$23-Inputs!$B$33-Inputs!$B$34-$B24*(Inputs!$B$35+Inputs!$B$36)))</f>
        <v>4406.39004053132</v>
      </c>
      <c r="F24" s="23" t="n">
        <f aca="false">IF(($B24*Inputs!$B$39+Inputs!$B$29+Inputs!$B$30-Inputs!$B$31-F$23-Inputs!$B$33-Inputs!$B$34-$B24*(Inputs!$B$35+Inputs!$B$36))&lt;=0,"n/a",Model!$B$22/($B24*Inputs!$B$39+Inputs!$B$29+Inputs!$B$30-Inputs!$B$31-F$23-Inputs!$B$33-Inputs!$B$34-$B24*(Inputs!$B$35+Inputs!$B$36)))</f>
        <v>18762.1183373491</v>
      </c>
      <c r="G24" s="23" t="str">
        <f aca="false">IF(($B24*Inputs!$B$39+Inputs!$B$29+Inputs!$B$30-Inputs!$B$31-G$23-Inputs!$B$33-Inputs!$B$34-$B24*(Inputs!$B$35+Inputs!$B$36))&lt;=0,"n/a",Model!$B$22/($B24*Inputs!$B$39+Inputs!$B$29+Inputs!$B$30-Inputs!$B$31-G$23-Inputs!$B$33-Inputs!$B$34-$B24*(Inputs!$B$35+Inputs!$B$36)))</f>
        <v>n/a</v>
      </c>
      <c r="H24" s="23" t="str">
        <f aca="false">IF(($B24*Inputs!$B$39+Inputs!$B$29+Inputs!$B$30-Inputs!$B$31-H$23-Inputs!$B$33-Inputs!$B$34-$B24*(Inputs!$B$35+Inputs!$B$36))&lt;=0,"n/a",Model!$B$22/($B24*Inputs!$B$39+Inputs!$B$29+Inputs!$B$30-Inputs!$B$31-H$23-Inputs!$B$33-Inputs!$B$34-$B24*(Inputs!$B$35+Inputs!$B$36)))</f>
        <v>n/a</v>
      </c>
      <c r="I24" s="2"/>
    </row>
    <row r="25" customFormat="false" ht="15" hidden="false" customHeight="false" outlineLevel="0" collapsed="false">
      <c r="A25" s="2"/>
      <c r="B25" s="38" t="n">
        <v>600</v>
      </c>
      <c r="C25" s="23" t="n">
        <f aca="false">IF(($B25*Inputs!$B$39+Inputs!$B$29+Inputs!$B$30-Inputs!$B$31-C$23-Inputs!$B$33-Inputs!$B$34-$B25*(Inputs!$B$35+Inputs!$B$36))&lt;=0,"n/a",Model!$B$22/($B25*Inputs!$B$39+Inputs!$B$29+Inputs!$B$30-Inputs!$B$31-C$23-Inputs!$B$33-Inputs!$B$34-$B25*(Inputs!$B$35+Inputs!$B$36)))</f>
        <v>1129.89513398025</v>
      </c>
      <c r="D25" s="23" t="n">
        <f aca="false">IF(($B25*Inputs!$B$39+Inputs!$B$29+Inputs!$B$30-Inputs!$B$31-D$23-Inputs!$B$33-Inputs!$B$34-$B25*(Inputs!$B$35+Inputs!$B$36))&lt;=0,"n/a",Model!$B$22/($B25*Inputs!$B$39+Inputs!$B$29+Inputs!$B$30-Inputs!$B$31-D$23-Inputs!$B$33-Inputs!$B$34-$B25*(Inputs!$B$35+Inputs!$B$36)))</f>
        <v>1405.69153146953</v>
      </c>
      <c r="E25" s="23" t="n">
        <f aca="false">IF(($B25*Inputs!$B$39+Inputs!$B$29+Inputs!$B$30-Inputs!$B$31-E$23-Inputs!$B$33-Inputs!$B$34-$B25*(Inputs!$B$35+Inputs!$B$36))&lt;=0,"n/a",Model!$B$22/($B25*Inputs!$B$39+Inputs!$B$29+Inputs!$B$30-Inputs!$B$31-E$23-Inputs!$B$33-Inputs!$B$34-$B25*(Inputs!$B$35+Inputs!$B$36)))</f>
        <v>1859.60235441873</v>
      </c>
      <c r="F25" s="23" t="n">
        <f aca="false">IF(($B25*Inputs!$B$39+Inputs!$B$29+Inputs!$B$30-Inputs!$B$31-F$23-Inputs!$B$33-Inputs!$B$34-$B25*(Inputs!$B$35+Inputs!$B$36))&lt;=0,"n/a",Model!$B$22/($B25*Inputs!$B$39+Inputs!$B$29+Inputs!$B$30-Inputs!$B$31-F$23-Inputs!$B$33-Inputs!$B$34-$B25*(Inputs!$B$35+Inputs!$B$36)))</f>
        <v>2746.45961838316</v>
      </c>
      <c r="G25" s="23" t="n">
        <f aca="false">IF(($B25*Inputs!$B$39+Inputs!$B$29+Inputs!$B$30-Inputs!$B$31-G$23-Inputs!$B$33-Inputs!$B$34-$B25*(Inputs!$B$35+Inputs!$B$36))&lt;=0,"n/a",Model!$B$22/($B25*Inputs!$B$39+Inputs!$B$29+Inputs!$B$30-Inputs!$B$31-G$23-Inputs!$B$33-Inputs!$B$34-$B25*(Inputs!$B$35+Inputs!$B$36)))</f>
        <v>5250.42256473999</v>
      </c>
      <c r="H25" s="23" t="n">
        <f aca="false">IF(($B25*Inputs!$B$39+Inputs!$B$29+Inputs!$B$30-Inputs!$B$31-H$23-Inputs!$B$33-Inputs!$B$34-$B25*(Inputs!$B$35+Inputs!$B$36))&lt;=0,"n/a",Model!$B$22/($B25*Inputs!$B$39+Inputs!$B$29+Inputs!$B$30-Inputs!$B$31-H$23-Inputs!$B$33-Inputs!$B$34-$B25*(Inputs!$B$35+Inputs!$B$36)))</f>
        <v>59465.0369137434</v>
      </c>
      <c r="I25" s="2"/>
    </row>
    <row r="26" customFormat="false" ht="15" hidden="false" customHeight="false" outlineLevel="0" collapsed="false">
      <c r="A26" s="2"/>
      <c r="B26" s="13" t="n">
        <f aca="false">Inputs!B8</f>
        <v>691</v>
      </c>
      <c r="C26" s="23" t="n">
        <f aca="false">IF(($B26*Inputs!$B$39+Inputs!$B$29+Inputs!$B$30-Inputs!$B$31-C$23-Inputs!$B$33-Inputs!$B$34-$B26*(Inputs!$B$35+Inputs!$B$36))&lt;=0,"n/a",Model!$B$22/($B26*Inputs!$B$39+Inputs!$B$29+Inputs!$B$30-Inputs!$B$31-C$23-Inputs!$B$33-Inputs!$B$34-$B26*(Inputs!$B$35+Inputs!$B$36)))</f>
        <v>813.036556336588</v>
      </c>
      <c r="D26" s="23" t="n">
        <f aca="false">IF(($B26*Inputs!$B$39+Inputs!$B$29+Inputs!$B$30-Inputs!$B$31-D$23-Inputs!$B$33-Inputs!$B$34-$B26*(Inputs!$B$35+Inputs!$B$36))&lt;=0,"n/a",Model!$B$22/($B26*Inputs!$B$39+Inputs!$B$29+Inputs!$B$30-Inputs!$B$31-D$23-Inputs!$B$33-Inputs!$B$34-$B26*(Inputs!$B$35+Inputs!$B$36)))</f>
        <v>946.68933058971</v>
      </c>
      <c r="E26" s="23" t="n">
        <f aca="false">IF(($B26*Inputs!$B$39+Inputs!$B$29+Inputs!$B$30-Inputs!$B$31-E$23-Inputs!$B$33-Inputs!$B$34-$B26*(Inputs!$B$35+Inputs!$B$36))&lt;=0,"n/a",Model!$B$22/($B26*Inputs!$B$39+Inputs!$B$29+Inputs!$B$30-Inputs!$B$31-E$23-Inputs!$B$33-Inputs!$B$34-$B26*(Inputs!$B$35+Inputs!$B$36)))</f>
        <v>1132.92818221658</v>
      </c>
      <c r="F26" s="23" t="n">
        <f aca="false">IF(($B26*Inputs!$B$39+Inputs!$B$29+Inputs!$B$30-Inputs!$B$31-F$23-Inputs!$B$33-Inputs!$B$34-$B26*(Inputs!$B$35+Inputs!$B$36))&lt;=0,"n/a",Model!$B$22/($B26*Inputs!$B$39+Inputs!$B$29+Inputs!$B$30-Inputs!$B$31-F$23-Inputs!$B$33-Inputs!$B$34-$B26*(Inputs!$B$35+Inputs!$B$36)))</f>
        <v>1410.38904188953</v>
      </c>
      <c r="G26" s="23" t="n">
        <f aca="false">IF(($B26*Inputs!$B$39+Inputs!$B$29+Inputs!$B$30-Inputs!$B$31-G$23-Inputs!$B$33-Inputs!$B$34-$B26*(Inputs!$B$35+Inputs!$B$36))&lt;=0,"n/a",Model!$B$22/($B26*Inputs!$B$39+Inputs!$B$29+Inputs!$B$30-Inputs!$B$31-G$23-Inputs!$B$33-Inputs!$B$34-$B26*(Inputs!$B$35+Inputs!$B$36)))</f>
        <v>1867.8322962647</v>
      </c>
      <c r="H26" s="23" t="n">
        <f aca="false">IF(($B26*Inputs!$B$39+Inputs!$B$29+Inputs!$B$30-Inputs!$B$31-H$23-Inputs!$B$33-Inputs!$B$34-$B26*(Inputs!$B$35+Inputs!$B$36))&lt;=0,"n/a",Model!$B$22/($B26*Inputs!$B$39+Inputs!$B$29+Inputs!$B$30-Inputs!$B$31-H$23-Inputs!$B$33-Inputs!$B$34-$B26*(Inputs!$B$35+Inputs!$B$36)))</f>
        <v>2764.44918195244</v>
      </c>
      <c r="I26" s="2"/>
    </row>
    <row r="27" customFormat="false" ht="15" hidden="false" customHeight="false" outlineLevel="0" collapsed="false">
      <c r="A27" s="2"/>
      <c r="B27" s="38" t="n">
        <v>800</v>
      </c>
      <c r="C27" s="23" t="n">
        <f aca="false">IF(($B27*Inputs!$B$39+Inputs!$B$29+Inputs!$B$30-Inputs!$B$31-C$23-Inputs!$B$33-Inputs!$B$34-$B27*(Inputs!$B$35+Inputs!$B$36))&lt;=0,"n/a",Model!$B$22/($B27*Inputs!$B$39+Inputs!$B$29+Inputs!$B$30-Inputs!$B$31-C$23-Inputs!$B$33-Inputs!$B$34-$B27*(Inputs!$B$35+Inputs!$B$36)))</f>
        <v>608.604994106919</v>
      </c>
      <c r="D27" s="23" t="n">
        <f aca="false">IF(($B27*Inputs!$B$39+Inputs!$B$29+Inputs!$B$30-Inputs!$B$31-D$23-Inputs!$B$33-Inputs!$B$34-$B27*(Inputs!$B$35+Inputs!$B$36))&lt;=0,"n/a",Model!$B$22/($B27*Inputs!$B$39+Inputs!$B$29+Inputs!$B$30-Inputs!$B$31-D$23-Inputs!$B$33-Inputs!$B$34-$B27*(Inputs!$B$35+Inputs!$B$36)))</f>
        <v>680.52320459606</v>
      </c>
      <c r="E27" s="23" t="n">
        <f aca="false">IF(($B27*Inputs!$B$39+Inputs!$B$29+Inputs!$B$30-Inputs!$B$31-E$23-Inputs!$B$33-Inputs!$B$34-$B27*(Inputs!$B$35+Inputs!$B$36))&lt;=0,"n/a",Model!$B$22/($B27*Inputs!$B$39+Inputs!$B$29+Inputs!$B$30-Inputs!$B$31-E$23-Inputs!$B$33-Inputs!$B$34-$B27*(Inputs!$B$35+Inputs!$B$36)))</f>
        <v>771.716080151833</v>
      </c>
      <c r="F27" s="23" t="n">
        <f aca="false">IF(($B27*Inputs!$B$39+Inputs!$B$29+Inputs!$B$30-Inputs!$B$31-F$23-Inputs!$B$33-Inputs!$B$34-$B27*(Inputs!$B$35+Inputs!$B$36))&lt;=0,"n/a",Model!$B$22/($B27*Inputs!$B$39+Inputs!$B$29+Inputs!$B$30-Inputs!$B$31-F$23-Inputs!$B$33-Inputs!$B$34-$B27*(Inputs!$B$35+Inputs!$B$36)))</f>
        <v>891.131296022836</v>
      </c>
      <c r="G27" s="23" t="n">
        <f aca="false">IF(($B27*Inputs!$B$39+Inputs!$B$29+Inputs!$B$30-Inputs!$B$31-G$23-Inputs!$B$33-Inputs!$B$34-$B27*(Inputs!$B$35+Inputs!$B$36))&lt;=0,"n/a",Model!$B$22/($B27*Inputs!$B$39+Inputs!$B$29+Inputs!$B$30-Inputs!$B$31-G$23-Inputs!$B$33-Inputs!$B$34-$B27*(Inputs!$B$35+Inputs!$B$36)))</f>
        <v>1054.26864860215</v>
      </c>
      <c r="H27" s="23" t="n">
        <f aca="false">IF(($B27*Inputs!$B$39+Inputs!$B$29+Inputs!$B$30-Inputs!$B$31-H$23-Inputs!$B$33-Inputs!$B$34-$B27*(Inputs!$B$35+Inputs!$B$36))&lt;=0,"n/a",Model!$B$22/($B27*Inputs!$B$39+Inputs!$B$29+Inputs!$B$30-Inputs!$B$31-H$23-Inputs!$B$33-Inputs!$B$34-$B27*(Inputs!$B$35+Inputs!$B$36)))</f>
        <v>1290.5214331058</v>
      </c>
      <c r="I27" s="2"/>
    </row>
    <row r="28" customFormat="false" ht="15" hidden="false" customHeight="false" outlineLevel="0" collapsed="false">
      <c r="A28" s="2"/>
      <c r="B28" s="38" t="n">
        <v>900</v>
      </c>
      <c r="C28" s="23" t="n">
        <f aca="false">IF(($B28*Inputs!$B$39+Inputs!$B$29+Inputs!$B$30-Inputs!$B$31-C$23-Inputs!$B$33-Inputs!$B$34-$B28*(Inputs!$B$35+Inputs!$B$36))&lt;=0,"n/a",Model!$B$22/($B28*Inputs!$B$39+Inputs!$B$29+Inputs!$B$30-Inputs!$B$31-C$23-Inputs!$B$33-Inputs!$B$34-$B28*(Inputs!$B$35+Inputs!$B$36)))</f>
        <v>494.527104948469</v>
      </c>
      <c r="D28" s="23" t="n">
        <f aca="false">IF(($B28*Inputs!$B$39+Inputs!$B$29+Inputs!$B$30-Inputs!$B$31-D$23-Inputs!$B$33-Inputs!$B$34-$B28*(Inputs!$B$35+Inputs!$B$36))&lt;=0,"n/a",Model!$B$22/($B28*Inputs!$B$39+Inputs!$B$29+Inputs!$B$30-Inputs!$B$31-D$23-Inputs!$B$33-Inputs!$B$34-$B28*(Inputs!$B$35+Inputs!$B$36)))</f>
        <v>540.982216983928</v>
      </c>
      <c r="E28" s="23" t="n">
        <f aca="false">IF(($B28*Inputs!$B$39+Inputs!$B$29+Inputs!$B$30-Inputs!$B$31-E$23-Inputs!$B$33-Inputs!$B$34-$B28*(Inputs!$B$35+Inputs!$B$36))&lt;=0,"n/a",Model!$B$22/($B28*Inputs!$B$39+Inputs!$B$29+Inputs!$B$30-Inputs!$B$31-E$23-Inputs!$B$33-Inputs!$B$34-$B28*(Inputs!$B$35+Inputs!$B$36)))</f>
        <v>597.070055314985</v>
      </c>
      <c r="F28" s="23" t="n">
        <f aca="false">IF(($B28*Inputs!$B$39+Inputs!$B$29+Inputs!$B$30-Inputs!$B$31-F$23-Inputs!$B$33-Inputs!$B$34-$B28*(Inputs!$B$35+Inputs!$B$36))&lt;=0,"n/a",Model!$B$22/($B28*Inputs!$B$39+Inputs!$B$29+Inputs!$B$30-Inputs!$B$31-F$23-Inputs!$B$33-Inputs!$B$34-$B28*(Inputs!$B$35+Inputs!$B$36)))</f>
        <v>666.133278584058</v>
      </c>
      <c r="G28" s="23" t="n">
        <f aca="false">IF(($B28*Inputs!$B$39+Inputs!$B$29+Inputs!$B$30-Inputs!$B$31-G$23-Inputs!$B$33-Inputs!$B$34-$B28*(Inputs!$B$35+Inputs!$B$36))&lt;=0,"n/a",Model!$B$22/($B28*Inputs!$B$39+Inputs!$B$29+Inputs!$B$30-Inputs!$B$31-G$23-Inputs!$B$33-Inputs!$B$34-$B28*(Inputs!$B$35+Inputs!$B$36)))</f>
        <v>753.263422653502</v>
      </c>
      <c r="H28" s="23" t="n">
        <f aca="false">IF(($B28*Inputs!$B$39+Inputs!$B$29+Inputs!$B$30-Inputs!$B$31-H$23-Inputs!$B$33-Inputs!$B$34-$B28*(Inputs!$B$35+Inputs!$B$36))&lt;=0,"n/a",Model!$B$22/($B28*Inputs!$B$39+Inputs!$B$29+Inputs!$B$30-Inputs!$B$31-H$23-Inputs!$B$33-Inputs!$B$34-$B28*(Inputs!$B$35+Inputs!$B$36)))</f>
        <v>866.616782291291</v>
      </c>
      <c r="I28" s="2"/>
    </row>
    <row r="29" customFormat="false" ht="15" hidden="false" customHeight="false" outlineLevel="0" collapsed="false">
      <c r="A29" s="2"/>
      <c r="B29" s="9" t="s">
        <v>179</v>
      </c>
      <c r="C29" s="2"/>
      <c r="D29" s="2"/>
      <c r="E29" s="2"/>
      <c r="F29" s="2"/>
      <c r="G29" s="2"/>
      <c r="H29" s="2"/>
      <c r="I29" s="2"/>
    </row>
  </sheetData>
  <conditionalFormatting sqref="C6:I10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15:I2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24:H28">
    <cfRule type="colorScale" priority="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180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181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182</v>
      </c>
      <c r="B4" s="6" t="s">
        <v>183</v>
      </c>
      <c r="C4" s="6" t="s">
        <v>184</v>
      </c>
      <c r="D4" s="6" t="s">
        <v>185</v>
      </c>
      <c r="E4" s="6" t="s">
        <v>186</v>
      </c>
    </row>
    <row r="5" customFormat="false" ht="15" hidden="false" customHeight="false" outlineLevel="0" collapsed="false">
      <c r="A5" s="7" t="s">
        <v>187</v>
      </c>
      <c r="B5" s="17" t="n">
        <v>0</v>
      </c>
      <c r="C5" s="26" t="n">
        <v>0</v>
      </c>
      <c r="D5" s="26" t="n">
        <v>0</v>
      </c>
      <c r="E5" s="26" t="n">
        <v>60</v>
      </c>
    </row>
    <row r="6" customFormat="false" ht="15" hidden="false" customHeight="false" outlineLevel="0" collapsed="false">
      <c r="A6" s="7" t="s">
        <v>188</v>
      </c>
      <c r="B6" s="18" t="n">
        <v>0</v>
      </c>
      <c r="C6" s="27" t="n">
        <v>0.3</v>
      </c>
      <c r="D6" s="27" t="n">
        <v>0.1</v>
      </c>
      <c r="E6" s="27" t="n">
        <v>0</v>
      </c>
    </row>
    <row r="7" customFormat="false" ht="15" hidden="false" customHeight="false" outlineLevel="0" collapsed="false">
      <c r="A7" s="7" t="s">
        <v>189</v>
      </c>
      <c r="B7" s="17" t="n">
        <v>0</v>
      </c>
      <c r="C7" s="26" t="n">
        <v>0</v>
      </c>
      <c r="D7" s="26" t="n">
        <v>0</v>
      </c>
      <c r="E7" s="26" t="n">
        <v>3</v>
      </c>
    </row>
    <row r="8" customFormat="false" ht="15" hidden="false" customHeight="false" outlineLevel="0" collapsed="false">
      <c r="A8" s="7" t="s">
        <v>190</v>
      </c>
      <c r="B8" s="17" t="n">
        <v>0</v>
      </c>
      <c r="C8" s="26" t="n">
        <v>0</v>
      </c>
      <c r="D8" s="26" t="n">
        <v>0</v>
      </c>
      <c r="E8" s="26" t="n">
        <v>5</v>
      </c>
    </row>
    <row r="9" customFormat="false" ht="15" hidden="false" customHeight="false" outlineLevel="0" collapsed="false">
      <c r="A9" s="7" t="s">
        <v>191</v>
      </c>
      <c r="B9" s="17" t="n">
        <v>0</v>
      </c>
      <c r="C9" s="26" t="n">
        <v>0</v>
      </c>
      <c r="D9" s="26" t="n">
        <v>10</v>
      </c>
      <c r="E9" s="26" t="n">
        <v>0</v>
      </c>
    </row>
    <row r="10" customFormat="false" ht="15" hidden="false" customHeight="false" outlineLevel="0" collapsed="false">
      <c r="A10" s="7" t="s">
        <v>192</v>
      </c>
      <c r="B10" s="17" t="n">
        <v>0</v>
      </c>
      <c r="C10" s="26" t="n">
        <v>0</v>
      </c>
      <c r="D10" s="26" t="n">
        <v>0</v>
      </c>
      <c r="E10" s="26" t="n">
        <v>-3</v>
      </c>
    </row>
    <row r="11" customFormat="false" ht="15" hidden="false" customHeight="false" outlineLevel="0" collapsed="false">
      <c r="A11" s="9" t="s">
        <v>193</v>
      </c>
      <c r="B11" s="2"/>
      <c r="C11" s="2"/>
      <c r="D11" s="2"/>
      <c r="E11" s="2"/>
    </row>
    <row r="12" customFormat="false" ht="15" hidden="false" customHeight="false" outlineLevel="0" collapsed="false">
      <c r="A12" s="6" t="s">
        <v>194</v>
      </c>
      <c r="B12" s="6" t="s">
        <v>183</v>
      </c>
      <c r="C12" s="6" t="s">
        <v>184</v>
      </c>
      <c r="D12" s="6" t="s">
        <v>185</v>
      </c>
      <c r="E12" s="6" t="s">
        <v>186</v>
      </c>
    </row>
    <row r="13" customFormat="false" ht="15" hidden="false" customHeight="false" outlineLevel="0" collapsed="false">
      <c r="A13" s="7" t="s">
        <v>118</v>
      </c>
      <c r="B13" s="29" t="n">
        <f aca="false">Inputs!$B$8+B5</f>
        <v>691</v>
      </c>
      <c r="C13" s="29" t="n">
        <f aca="false">Inputs!$B$8+C5</f>
        <v>691</v>
      </c>
      <c r="D13" s="29" t="n">
        <f aca="false">Inputs!$B$8+D5</f>
        <v>691</v>
      </c>
      <c r="E13" s="29" t="n">
        <f aca="false">Inputs!$B$8+E5</f>
        <v>751</v>
      </c>
    </row>
    <row r="14" customFormat="false" ht="15" hidden="false" customHeight="false" outlineLevel="0" collapsed="false">
      <c r="A14" s="7" t="s">
        <v>73</v>
      </c>
      <c r="B14" s="23" t="n">
        <f aca="false">Inputs!$B$22*(1+B6)</f>
        <v>1074.50192847289</v>
      </c>
      <c r="C14" s="23" t="n">
        <f aca="false">Inputs!$B$22*(1+C6)</f>
        <v>1396.85250701476</v>
      </c>
      <c r="D14" s="23" t="n">
        <f aca="false">Inputs!$B$22*(1+D6)</f>
        <v>1181.95212132018</v>
      </c>
      <c r="E14" s="23" t="n">
        <f aca="false">Inputs!$B$22*(1+E6)</f>
        <v>1074.50192847289</v>
      </c>
    </row>
    <row r="15" customFormat="false" ht="15" hidden="false" customHeight="false" outlineLevel="0" collapsed="false">
      <c r="A15" s="7" t="s">
        <v>122</v>
      </c>
      <c r="B15" s="29" t="n">
        <f aca="false">Inputs!$B$29+B7</f>
        <v>12</v>
      </c>
      <c r="C15" s="29" t="n">
        <f aca="false">Inputs!$B$29+C7</f>
        <v>12</v>
      </c>
      <c r="D15" s="29" t="n">
        <f aca="false">Inputs!$B$29+D7</f>
        <v>12</v>
      </c>
      <c r="E15" s="29" t="n">
        <f aca="false">Inputs!$B$29+E7</f>
        <v>15</v>
      </c>
    </row>
    <row r="16" customFormat="false" ht="15" hidden="false" customHeight="false" outlineLevel="0" collapsed="false">
      <c r="A16" s="7" t="s">
        <v>195</v>
      </c>
      <c r="B16" s="29" t="n">
        <f aca="false">Inputs!$B$30+B8</f>
        <v>10</v>
      </c>
      <c r="C16" s="29" t="n">
        <f aca="false">Inputs!$B$30+C8</f>
        <v>10</v>
      </c>
      <c r="D16" s="29" t="n">
        <f aca="false">Inputs!$B$30+D8</f>
        <v>10</v>
      </c>
      <c r="E16" s="29" t="n">
        <f aca="false">Inputs!$B$30+E8</f>
        <v>15</v>
      </c>
    </row>
    <row r="17" customFormat="false" ht="15" hidden="false" customHeight="false" outlineLevel="0" collapsed="false">
      <c r="A17" s="7" t="s">
        <v>196</v>
      </c>
      <c r="B17" s="29" t="n">
        <f aca="false">Inputs!$B$31+B9</f>
        <v>6</v>
      </c>
      <c r="C17" s="29" t="n">
        <f aca="false">Inputs!$B$31+C9</f>
        <v>6</v>
      </c>
      <c r="D17" s="29" t="n">
        <f aca="false">Inputs!$B$31+D9</f>
        <v>16</v>
      </c>
      <c r="E17" s="29" t="n">
        <f aca="false">Inputs!$B$31+E9</f>
        <v>6</v>
      </c>
    </row>
    <row r="18" customFormat="false" ht="15" hidden="false" customHeight="false" outlineLevel="0" collapsed="false">
      <c r="A18" s="7" t="s">
        <v>197</v>
      </c>
      <c r="B18" s="29" t="n">
        <f aca="false">Inputs!$B$32+B10</f>
        <v>45</v>
      </c>
      <c r="C18" s="29" t="n">
        <f aca="false">Inputs!$B$32+C10</f>
        <v>45</v>
      </c>
      <c r="D18" s="29" t="n">
        <f aca="false">Inputs!$B$32+D10</f>
        <v>45</v>
      </c>
      <c r="E18" s="29" t="n">
        <f aca="false">Inputs!$B$32+E10</f>
        <v>42</v>
      </c>
    </row>
    <row r="19" customFormat="false" ht="15" hidden="false" customHeight="false" outlineLevel="0" collapsed="false">
      <c r="A19" s="6" t="s">
        <v>198</v>
      </c>
      <c r="B19" s="6" t="s">
        <v>183</v>
      </c>
      <c r="C19" s="6" t="s">
        <v>184</v>
      </c>
      <c r="D19" s="6" t="s">
        <v>185</v>
      </c>
      <c r="E19" s="6" t="s">
        <v>186</v>
      </c>
    </row>
    <row r="20" customFormat="false" ht="15" hidden="false" customHeight="false" outlineLevel="0" collapsed="false">
      <c r="A20" s="7" t="s">
        <v>127</v>
      </c>
      <c r="B20" s="24" t="n">
        <f aca="false">B13*Inputs!$B$39+B15+B16-B17</f>
        <v>108</v>
      </c>
      <c r="C20" s="24" t="n">
        <f aca="false">C13*Inputs!$B$39+C15+C16-C17</f>
        <v>108</v>
      </c>
      <c r="D20" s="24" t="n">
        <f aca="false">D13*Inputs!$B$39+D15+D16-D17</f>
        <v>98</v>
      </c>
      <c r="E20" s="24" t="n">
        <f aca="false">E13*Inputs!$B$39+E15+E16-E17</f>
        <v>123.988422575977</v>
      </c>
    </row>
    <row r="21" customFormat="false" ht="15" hidden="false" customHeight="false" outlineLevel="0" collapsed="false">
      <c r="A21" s="7" t="s">
        <v>137</v>
      </c>
      <c r="B21" s="24" t="n">
        <f aca="false">B18+Inputs!$B$33+Inputs!$B$34+B13*(Inputs!$B$35+Inputs!$B$36)</f>
        <v>82.584</v>
      </c>
      <c r="C21" s="24" t="n">
        <f aca="false">C18+Inputs!$B$33+Inputs!$B$34+C13*(Inputs!$B$35+Inputs!$B$36)</f>
        <v>82.584</v>
      </c>
      <c r="D21" s="24" t="n">
        <f aca="false">D18+Inputs!$B$33+Inputs!$B$34+D13*(Inputs!$B$35+Inputs!$B$36)</f>
        <v>82.584</v>
      </c>
      <c r="E21" s="24" t="n">
        <f aca="false">E18+Inputs!$B$33+Inputs!$B$34+E13*(Inputs!$B$35+Inputs!$B$36)</f>
        <v>81.024</v>
      </c>
    </row>
    <row r="22" customFormat="false" ht="15" hidden="false" customHeight="false" outlineLevel="0" collapsed="false">
      <c r="A22" s="7" t="s">
        <v>199</v>
      </c>
      <c r="B22" s="24" t="n">
        <f aca="false">B20-B21</f>
        <v>25.416</v>
      </c>
      <c r="C22" s="24" t="n">
        <f aca="false">C20-C21</f>
        <v>25.416</v>
      </c>
      <c r="D22" s="24" t="n">
        <f aca="false">D20-D21</f>
        <v>15.416</v>
      </c>
      <c r="E22" s="24" t="n">
        <f aca="false">E20-E21</f>
        <v>42.9644225759768</v>
      </c>
    </row>
    <row r="23" customFormat="false" ht="15" hidden="false" customHeight="false" outlineLevel="0" collapsed="false">
      <c r="A23" s="7" t="s">
        <v>147</v>
      </c>
      <c r="B23" s="29" t="n">
        <f aca="false">Model!$B$22</f>
        <v>28794.5026792166</v>
      </c>
      <c r="C23" s="29" t="n">
        <f aca="false">Model!$B$22</f>
        <v>28794.5026792166</v>
      </c>
      <c r="D23" s="29" t="n">
        <f aca="false">Model!$B$22</f>
        <v>28794.5026792166</v>
      </c>
      <c r="E23" s="29" t="n">
        <f aca="false">Model!$B$22</f>
        <v>28794.5026792166</v>
      </c>
    </row>
    <row r="24" customFormat="false" ht="15" hidden="false" customHeight="false" outlineLevel="0" collapsed="false">
      <c r="A24" s="7" t="s">
        <v>152</v>
      </c>
      <c r="B24" s="24" t="n">
        <f aca="false">B22-B23/B14</f>
        <v>-1.38200000000001</v>
      </c>
      <c r="C24" s="24" t="n">
        <f aca="false">C22-C23/C14</f>
        <v>4.80215384615384</v>
      </c>
      <c r="D24" s="24" t="n">
        <f aca="false">D22-D23/D14</f>
        <v>-8.94581818181819</v>
      </c>
      <c r="E24" s="24" t="n">
        <f aca="false">E22-E23/E14</f>
        <v>16.1664225759768</v>
      </c>
    </row>
    <row r="25" customFormat="false" ht="15" hidden="false" customHeight="false" outlineLevel="0" collapsed="false">
      <c r="A25" s="31" t="s">
        <v>154</v>
      </c>
      <c r="B25" s="34" t="n">
        <f aca="false">B24/B13</f>
        <v>-0.00200000000000001</v>
      </c>
      <c r="C25" s="34" t="n">
        <f aca="false">C24/C13</f>
        <v>0.00694957141266837</v>
      </c>
      <c r="D25" s="34" t="n">
        <f aca="false">D24/D13</f>
        <v>-0.0129461912906197</v>
      </c>
      <c r="E25" s="34" t="n">
        <f aca="false">E24/E13</f>
        <v>0.0215265280638839</v>
      </c>
    </row>
    <row r="26" customFormat="false" ht="15" hidden="false" customHeight="false" outlineLevel="0" collapsed="false">
      <c r="A26" s="31" t="s">
        <v>157</v>
      </c>
      <c r="B26" s="39" t="n">
        <f aca="false">B24*B14*Inputs!$B$48</f>
        <v>-44548.8499544863</v>
      </c>
      <c r="C26" s="39" t="n">
        <f aca="false">C24*C14*Inputs!$B$48</f>
        <v>201237.019172117</v>
      </c>
      <c r="D26" s="39" t="n">
        <f aca="false">D24*D14*Inputs!$B$48</f>
        <v>-317205.86330834</v>
      </c>
      <c r="E26" s="39" t="n">
        <f aca="false">E24*E14*Inputs!$B$48</f>
        <v>521125.567031845</v>
      </c>
    </row>
    <row r="27" customFormat="false" ht="15" hidden="false" customHeight="false" outlineLevel="0" collapsed="false">
      <c r="A27" s="7" t="s">
        <v>200</v>
      </c>
      <c r="B27" s="24" t="n">
        <f aca="false">B26*Inputs!$B$11/10000000</f>
        <v>-5.21667032967035</v>
      </c>
      <c r="C27" s="24" t="n">
        <f aca="false">C26*Inputs!$B$11/10000000</f>
        <v>23.5648549450549</v>
      </c>
      <c r="D27" s="24" t="n">
        <f aca="false">D26*Inputs!$B$11/10000000</f>
        <v>-37.1448065934066</v>
      </c>
      <c r="E27" s="24" t="n">
        <f aca="false">E26*Inputs!$B$11/10000000</f>
        <v>61.0238038994291</v>
      </c>
    </row>
    <row r="28" customFormat="false" ht="15" hidden="false" customHeight="false" outlineLevel="0" collapsed="false">
      <c r="A28" s="31" t="s">
        <v>9</v>
      </c>
      <c r="B28" s="40" t="n">
        <f aca="false">IF(B22&lt;=0,"n/a",B23/B22)</f>
        <v>1132.92818221658</v>
      </c>
      <c r="C28" s="40" t="n">
        <f aca="false">IF(C22&lt;=0,"n/a",C23/C22)</f>
        <v>1132.92818221658</v>
      </c>
      <c r="D28" s="40" t="n">
        <f aca="false">IF(D22&lt;=0,"n/a",D23/D22)</f>
        <v>1867.8322962647</v>
      </c>
      <c r="E28" s="40" t="n">
        <f aca="false">IF(E22&lt;=0,"n/a",E23/E22)</f>
        <v>670.194103698179</v>
      </c>
    </row>
    <row r="29" customFormat="false" ht="15" hidden="false" customHeight="false" outlineLevel="0" collapsed="false">
      <c r="A29" s="7" t="s">
        <v>201</v>
      </c>
      <c r="B29" s="29" t="n">
        <f aca="false">B26-$B$26</f>
        <v>0</v>
      </c>
      <c r="C29" s="29" t="n">
        <f aca="false">C26-$B$26</f>
        <v>245785.869126604</v>
      </c>
      <c r="D29" s="29" t="n">
        <f aca="false">D26-$B$26</f>
        <v>-272657.013353854</v>
      </c>
      <c r="E29" s="29" t="n">
        <f aca="false">E26-$B$26</f>
        <v>565674.416986331</v>
      </c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4" t="s">
        <v>202</v>
      </c>
      <c r="B31" s="2"/>
      <c r="C31" s="2"/>
      <c r="D31" s="2"/>
      <c r="E31" s="2"/>
    </row>
    <row r="32" customFormat="false" ht="15" hidden="false" customHeight="false" outlineLevel="0" collapsed="false">
      <c r="A32" s="7" t="s">
        <v>203</v>
      </c>
      <c r="B32" s="36" t="n">
        <f aca="false">Inputs!B16</f>
        <v>518</v>
      </c>
      <c r="C32" s="2"/>
      <c r="D32" s="2"/>
      <c r="E32" s="2"/>
    </row>
    <row r="33" customFormat="false" ht="15" hidden="false" customHeight="false" outlineLevel="0" collapsed="false">
      <c r="A33" s="7" t="s">
        <v>204</v>
      </c>
      <c r="B33" s="41" t="n">
        <f aca="false">Inputs!B18</f>
        <v>0.053</v>
      </c>
      <c r="C33" s="2"/>
      <c r="D33" s="2"/>
      <c r="E33" s="2"/>
    </row>
    <row r="34" customFormat="false" ht="15" hidden="false" customHeight="false" outlineLevel="0" collapsed="false">
      <c r="A34" s="7" t="s">
        <v>205</v>
      </c>
      <c r="B34" s="28" t="n">
        <f aca="false">B25</f>
        <v>-0.00200000000000001</v>
      </c>
      <c r="C34" s="2"/>
      <c r="D34" s="2"/>
      <c r="E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9" min="5" style="0" width="18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207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7" t="s">
        <v>208</v>
      </c>
      <c r="B3" s="27" t="n">
        <v>0.1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35.05" hidden="false" customHeight="false" outlineLevel="0" collapsed="false">
      <c r="A5" s="6" t="s">
        <v>209</v>
      </c>
      <c r="B5" s="6" t="s">
        <v>210</v>
      </c>
      <c r="C5" s="6" t="s">
        <v>211</v>
      </c>
      <c r="D5" s="6" t="s">
        <v>212</v>
      </c>
      <c r="E5" s="6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</row>
    <row r="6" customFormat="false" ht="15" hidden="false" customHeight="false" outlineLevel="0" collapsed="false">
      <c r="A6" s="7" t="s">
        <v>219</v>
      </c>
      <c r="B6" s="36" t="n">
        <f aca="false">Inputs!B8</f>
        <v>691</v>
      </c>
      <c r="C6" s="29" t="n">
        <f aca="false">B6*(1-$B$3)</f>
        <v>621.9</v>
      </c>
      <c r="D6" s="29" t="n">
        <f aca="false">B6*(1+$B$3)</f>
        <v>760.1</v>
      </c>
      <c r="E6" s="29" t="n">
        <f aca="false">Inputs!$B$48*((Inputs!$B$22)*(C6*Inputs!$B$39+Inputs!$B$29+Inputs!$B$30-Inputs!$B$31-Inputs!$B$32-Inputs!$B$33-Inputs!$B$34-C6*(Inputs!$B$35+Inputs!$B$36))-Model!$B$22)</f>
        <v>-287652.762267622</v>
      </c>
      <c r="F6" s="29" t="n">
        <f aca="false">Inputs!$B$48*((Inputs!$B$22)*(D6*Inputs!$B$39+Inputs!$B$29+Inputs!$B$30-Inputs!$B$31-Inputs!$B$32-Inputs!$B$33-Inputs!$B$34-D6*(Inputs!$B$35+Inputs!$B$36))-Model!$B$22)</f>
        <v>198555.062358649</v>
      </c>
      <c r="G6" s="29" t="n">
        <f aca="false">E6-Model!$B$28</f>
        <v>-243103.912313135</v>
      </c>
      <c r="H6" s="29" t="n">
        <f aca="false">F6-Model!$B$28</f>
        <v>243103.912313135</v>
      </c>
      <c r="I6" s="29" t="n">
        <f aca="false">ABS(F6-E6)</f>
        <v>486207.824626271</v>
      </c>
      <c r="J6" s="24" t="n">
        <f aca="false">I6*Inputs!$B$11/10000000</f>
        <v>56.9349362637363</v>
      </c>
    </row>
    <row r="7" customFormat="false" ht="15" hidden="false" customHeight="false" outlineLevel="0" collapsed="false">
      <c r="A7" s="7" t="s">
        <v>220</v>
      </c>
      <c r="B7" s="30" t="n">
        <f aca="false">Inputs!B32</f>
        <v>45</v>
      </c>
      <c r="C7" s="24" t="n">
        <f aca="false">B7*(1-$B$3)</f>
        <v>40.5</v>
      </c>
      <c r="D7" s="24" t="n">
        <f aca="false">B7*(1+$B$3)</f>
        <v>49.5</v>
      </c>
      <c r="E7" s="29" t="n">
        <f aca="false">Inputs!$B$48*((Inputs!$B$22)*(Inputs!$B$8*Inputs!$B$39+Inputs!$B$29+Inputs!$B$30-Inputs!$B$31-C7-Inputs!$B$33-Inputs!$B$34-Inputs!$B$8*(Inputs!$B$35+Inputs!$B$36))-Model!$B$22)</f>
        <v>100508.910389354</v>
      </c>
      <c r="F7" s="29" t="n">
        <f aca="false">Inputs!$B$48*((Inputs!$B$22)*(Inputs!$B$8*Inputs!$B$39+Inputs!$B$29+Inputs!$B$30-Inputs!$B$31-D7-Inputs!$B$33-Inputs!$B$34-Inputs!$B$8*(Inputs!$B$35+Inputs!$B$36))-Model!$B$22)</f>
        <v>-189606.610298327</v>
      </c>
      <c r="G7" s="29" t="n">
        <f aca="false">E7-Model!$B$28</f>
        <v>145057.760343841</v>
      </c>
      <c r="H7" s="29" t="n">
        <f aca="false">F7-Model!$B$28</f>
        <v>-145057.760343841</v>
      </c>
      <c r="I7" s="29" t="n">
        <f aca="false">ABS(F7-E7)</f>
        <v>290115.520687682</v>
      </c>
      <c r="J7" s="24" t="n">
        <f aca="false">I7*Inputs!$B$11/10000000</f>
        <v>33.9725274725275</v>
      </c>
    </row>
    <row r="8" customFormat="false" ht="15" hidden="false" customHeight="false" outlineLevel="0" collapsed="false">
      <c r="A8" s="7" t="s">
        <v>221</v>
      </c>
      <c r="B8" s="36" t="n">
        <f aca="false">Model!B22</f>
        <v>28794.5026792166</v>
      </c>
      <c r="C8" s="29" t="n">
        <f aca="false">B8*(1-$B$3)</f>
        <v>25915.0524112949</v>
      </c>
      <c r="D8" s="29" t="n">
        <f aca="false">B8*(1+$B$3)</f>
        <v>31673.9529471383</v>
      </c>
      <c r="E8" s="29" t="n">
        <f aca="false">Inputs!$B$48*((Inputs!$B$22)*(Inputs!$B$8*Inputs!$B$39+Inputs!$B$29+Inputs!$B$30-Inputs!$B$31-Inputs!$B$32-Inputs!$B$33-Inputs!$B$34-Inputs!$B$8*(Inputs!$B$35+Inputs!$B$36))-C8)</f>
        <v>41834.6580831636</v>
      </c>
      <c r="F8" s="29" t="n">
        <f aca="false">Inputs!$B$48*((Inputs!$B$22)*(Inputs!$B$8*Inputs!$B$39+Inputs!$B$29+Inputs!$B$30-Inputs!$B$31-Inputs!$B$32-Inputs!$B$33-Inputs!$B$34-Inputs!$B$8*(Inputs!$B$35+Inputs!$B$36))-D8)</f>
        <v>-130932.357992136</v>
      </c>
      <c r="G8" s="29" t="n">
        <f aca="false">E8-Model!$B$28</f>
        <v>86383.5080376499</v>
      </c>
      <c r="H8" s="29" t="n">
        <f aca="false">F8-Model!$B$28</f>
        <v>-86383.5080376499</v>
      </c>
      <c r="I8" s="29" t="n">
        <f aca="false">ABS(F8-E8)</f>
        <v>172767.0160753</v>
      </c>
      <c r="J8" s="24" t="n">
        <f aca="false">I8*Inputs!$B$11/10000000</f>
        <v>20.2310175824176</v>
      </c>
    </row>
    <row r="9" customFormat="false" ht="15" hidden="false" customHeight="false" outlineLevel="0" collapsed="false">
      <c r="A9" s="7" t="s">
        <v>73</v>
      </c>
      <c r="B9" s="42" t="n">
        <f aca="false">Inputs!B22</f>
        <v>1074.50192847289</v>
      </c>
      <c r="C9" s="23" t="n">
        <f aca="false">B9*(1-$B$3)</f>
        <v>967.051735625604</v>
      </c>
      <c r="D9" s="23" t="n">
        <f aca="false">B9*(1+$B$3)</f>
        <v>1181.95212132018</v>
      </c>
      <c r="E9" s="29" t="n">
        <f aca="false">Inputs!$B$48*(C9*(Inputs!$B$8*Inputs!$B$39+Inputs!$B$29+Inputs!$B$30-Inputs!$B$31-Inputs!$B$32-Inputs!$B$33-Inputs!$B$34-Inputs!$B$8*(Inputs!$B$35+Inputs!$B$36))-Model!$B$22)</f>
        <v>-126477.472996687</v>
      </c>
      <c r="F9" s="29" t="n">
        <f aca="false">Inputs!$B$48*(D9*(Inputs!$B$8*Inputs!$B$39+Inputs!$B$29+Inputs!$B$30-Inputs!$B$31-Inputs!$B$32-Inputs!$B$33-Inputs!$B$34-Inputs!$B$8*(Inputs!$B$35+Inputs!$B$36))-Model!$B$22)</f>
        <v>37379.773087715</v>
      </c>
      <c r="G9" s="29" t="n">
        <f aca="false">E9-Model!$B$28</f>
        <v>-81928.6230422011</v>
      </c>
      <c r="H9" s="29" t="n">
        <f aca="false">F9-Model!$B$28</f>
        <v>81928.6230422013</v>
      </c>
      <c r="I9" s="29" t="n">
        <f aca="false">ABS(F9-E9)</f>
        <v>163857.246084402</v>
      </c>
      <c r="J9" s="24" t="n">
        <f aca="false">I9*Inputs!$B$11/10000000</f>
        <v>19.1876835164835</v>
      </c>
    </row>
    <row r="10" customFormat="false" ht="15" hidden="false" customHeight="false" outlineLevel="0" collapsed="false">
      <c r="A10" s="7" t="s">
        <v>222</v>
      </c>
      <c r="B10" s="30" t="n">
        <f aca="false">Inputs!B33</f>
        <v>15</v>
      </c>
      <c r="C10" s="24" t="n">
        <f aca="false">B10*(1-$B$3)</f>
        <v>13.5</v>
      </c>
      <c r="D10" s="24" t="n">
        <f aca="false">B10*(1+$B$3)</f>
        <v>16.5</v>
      </c>
      <c r="E10" s="29" t="n">
        <f aca="false">Inputs!$B$48*((Inputs!$B$22)*(Inputs!$B$8*Inputs!$B$39+Inputs!$B$29+Inputs!$B$30-Inputs!$B$31-Inputs!$B$32-C10-Inputs!$B$34-Inputs!$B$8*(Inputs!$B$35+Inputs!$B$36))-Model!$B$22)</f>
        <v>3803.73682679397</v>
      </c>
      <c r="F10" s="29" t="n">
        <f aca="false">Inputs!$B$48*((Inputs!$B$22)*(Inputs!$B$8*Inputs!$B$39+Inputs!$B$29+Inputs!$B$30-Inputs!$B$31-Inputs!$B$32-D10-Inputs!$B$34-Inputs!$B$8*(Inputs!$B$35+Inputs!$B$36))-Model!$B$22)</f>
        <v>-92901.4367357665</v>
      </c>
      <c r="G10" s="29" t="n">
        <f aca="false">E10-Model!$B$28</f>
        <v>48352.5867812803</v>
      </c>
      <c r="H10" s="29" t="n">
        <f aca="false">F10-Model!$B$28</f>
        <v>-48352.5867812802</v>
      </c>
      <c r="I10" s="29" t="n">
        <f aca="false">ABS(F10-E10)</f>
        <v>96705.1735625605</v>
      </c>
      <c r="J10" s="24" t="n">
        <f aca="false">I10*Inputs!$B$11/10000000</f>
        <v>11.3241758241758</v>
      </c>
    </row>
    <row r="11" customFormat="false" ht="15" hidden="false" customHeight="false" outlineLevel="0" collapsed="false">
      <c r="A11" s="7" t="s">
        <v>223</v>
      </c>
      <c r="B11" s="30" t="n">
        <f aca="false">Inputs!B29</f>
        <v>12</v>
      </c>
      <c r="C11" s="24" t="n">
        <f aca="false">B11*(1-$B$3)</f>
        <v>10.8</v>
      </c>
      <c r="D11" s="24" t="n">
        <f aca="false">B11*(1+$B$3)</f>
        <v>13.2</v>
      </c>
      <c r="E11" s="29" t="n">
        <f aca="false">Inputs!$B$48*((Inputs!$B$22)*(Inputs!$B$8*Inputs!$B$39+C11+Inputs!$B$30-Inputs!$B$31-Inputs!$B$32-Inputs!$B$33-Inputs!$B$34-Inputs!$B$8*(Inputs!$B$35+Inputs!$B$36))-Model!$B$22)</f>
        <v>-83230.9193795105</v>
      </c>
      <c r="F11" s="29" t="n">
        <f aca="false">Inputs!$B$48*((Inputs!$B$22)*(Inputs!$B$8*Inputs!$B$39+D11+Inputs!$B$30-Inputs!$B$31-Inputs!$B$32-Inputs!$B$33-Inputs!$B$34-Inputs!$B$8*(Inputs!$B$35+Inputs!$B$36))-Model!$B$22)</f>
        <v>-5866.78052946194</v>
      </c>
      <c r="G11" s="29" t="n">
        <f aca="false">E11-Model!$B$28</f>
        <v>-38682.0694250241</v>
      </c>
      <c r="H11" s="29" t="n">
        <f aca="false">F11-Model!$B$28</f>
        <v>38682.0694250244</v>
      </c>
      <c r="I11" s="29" t="n">
        <f aca="false">ABS(F11-E11)</f>
        <v>77364.1388500485</v>
      </c>
      <c r="J11" s="24" t="n">
        <f aca="false">I11*Inputs!$B$11/10000000</f>
        <v>9.05934065934068</v>
      </c>
    </row>
    <row r="12" customFormat="false" ht="15" hidden="false" customHeight="false" outlineLevel="0" collapsed="false">
      <c r="A12" s="7" t="s">
        <v>89</v>
      </c>
      <c r="B12" s="30" t="n">
        <f aca="false">Inputs!B30</f>
        <v>10</v>
      </c>
      <c r="C12" s="24" t="n">
        <f aca="false">B12*(1-$B$3)</f>
        <v>9</v>
      </c>
      <c r="D12" s="24" t="n">
        <f aca="false">B12*(1+$B$3)</f>
        <v>11</v>
      </c>
      <c r="E12" s="29" t="n">
        <f aca="false">Inputs!$B$48*((Inputs!$B$22)*(Inputs!$B$8*Inputs!$B$39+Inputs!$B$29+C12-Inputs!$B$31-Inputs!$B$32-Inputs!$B$33-Inputs!$B$34-Inputs!$B$8*(Inputs!$B$35+Inputs!$B$36))-Model!$B$22)</f>
        <v>-76783.907808673</v>
      </c>
      <c r="F12" s="29" t="n">
        <f aca="false">Inputs!$B$48*((Inputs!$B$22)*(Inputs!$B$8*Inputs!$B$39+Inputs!$B$29+D12-Inputs!$B$31-Inputs!$B$32-Inputs!$B$33-Inputs!$B$34-Inputs!$B$8*(Inputs!$B$35+Inputs!$B$36))-Model!$B$22)</f>
        <v>-12313.7921002994</v>
      </c>
      <c r="G12" s="29" t="n">
        <f aca="false">E12-Model!$B$28</f>
        <v>-32235.0578541867</v>
      </c>
      <c r="H12" s="29" t="n">
        <f aca="false">F12-Model!$B$28</f>
        <v>32235.0578541869</v>
      </c>
      <c r="I12" s="29" t="n">
        <f aca="false">ABS(F12-E12)</f>
        <v>64470.1157083736</v>
      </c>
      <c r="J12" s="24" t="n">
        <f aca="false">I12*Inputs!$B$11/10000000</f>
        <v>7.54945054945055</v>
      </c>
    </row>
    <row r="13" customFormat="false" ht="15" hidden="false" customHeight="false" outlineLevel="0" collapsed="false">
      <c r="A13" s="7" t="s">
        <v>224</v>
      </c>
      <c r="B13" s="43" t="n">
        <f aca="false">Inputs!B35</f>
        <v>0.012</v>
      </c>
      <c r="C13" s="28" t="n">
        <f aca="false">B13*(1-$B$3)</f>
        <v>0.0108</v>
      </c>
      <c r="D13" s="28" t="n">
        <f aca="false">B13*(1+$B$3)</f>
        <v>0.0132</v>
      </c>
      <c r="E13" s="29" t="n">
        <f aca="false">Inputs!$B$48*((Inputs!$B$22)*(Inputs!$B$8*Inputs!$B$39+Inputs!$B$29+Inputs!$B$30-Inputs!$B$31-Inputs!$B$32-Inputs!$B$33-Inputs!$B$34-Inputs!$B$8*(C13+Inputs!$B$36))-Model!$B$22)</f>
        <v>-17819.5399817947</v>
      </c>
      <c r="F13" s="29" t="n">
        <f aca="false">Inputs!$B$48*((Inputs!$B$22)*(Inputs!$B$8*Inputs!$B$39+Inputs!$B$29+Inputs!$B$30-Inputs!$B$31-Inputs!$B$32-Inputs!$B$33-Inputs!$B$34-Inputs!$B$8*(D13+Inputs!$B$36))-Model!$B$22)</f>
        <v>-71278.1599271779</v>
      </c>
      <c r="G13" s="29" t="n">
        <f aca="false">E13-Model!$B$28</f>
        <v>26729.3099726916</v>
      </c>
      <c r="H13" s="29" t="n">
        <f aca="false">F13-Model!$B$28</f>
        <v>-26729.3099726916</v>
      </c>
      <c r="I13" s="29" t="n">
        <f aca="false">ABS(F13-E13)</f>
        <v>53458.6199453832</v>
      </c>
      <c r="J13" s="24" t="n">
        <f aca="false">I13*Inputs!$B$11/10000000</f>
        <v>6.26000439560437</v>
      </c>
    </row>
    <row r="14" customFormat="false" ht="15" hidden="false" customHeight="false" outlineLevel="0" collapsed="false">
      <c r="A14" s="7" t="s">
        <v>225</v>
      </c>
      <c r="B14" s="43" t="n">
        <f aca="false">Inputs!B36</f>
        <v>0.012</v>
      </c>
      <c r="C14" s="28" t="n">
        <f aca="false">B14*(1-$B$3)</f>
        <v>0.0108</v>
      </c>
      <c r="D14" s="28" t="n">
        <f aca="false">B14*(1+$B$3)</f>
        <v>0.0132</v>
      </c>
      <c r="E14" s="29" t="n">
        <f aca="false">Inputs!$B$48*((Inputs!$B$22)*(Inputs!$B$8*Inputs!$B$39+Inputs!$B$29+Inputs!$B$30-Inputs!$B$31-Inputs!$B$32-Inputs!$B$33-Inputs!$B$34-Inputs!$B$8*(Inputs!$B$35+C14))-Model!$B$22)</f>
        <v>-17819.5399817947</v>
      </c>
      <c r="F14" s="29" t="n">
        <f aca="false">Inputs!$B$48*((Inputs!$B$22)*(Inputs!$B$8*Inputs!$B$39+Inputs!$B$29+Inputs!$B$30-Inputs!$B$31-Inputs!$B$32-Inputs!$B$33-Inputs!$B$34-Inputs!$B$8*(Inputs!$B$35+D14))-Model!$B$22)</f>
        <v>-71278.1599271779</v>
      </c>
      <c r="G14" s="29" t="n">
        <f aca="false">E14-Model!$B$28</f>
        <v>26729.3099726916</v>
      </c>
      <c r="H14" s="29" t="n">
        <f aca="false">F14-Model!$B$28</f>
        <v>-26729.3099726916</v>
      </c>
      <c r="I14" s="29" t="n">
        <f aca="false">ABS(F14-E14)</f>
        <v>53458.6199453832</v>
      </c>
      <c r="J14" s="24" t="n">
        <f aca="false">I14*Inputs!$B$11/10000000</f>
        <v>6.26000439560437</v>
      </c>
    </row>
    <row r="15" customFormat="false" ht="15" hidden="false" customHeight="false" outlineLevel="0" collapsed="false">
      <c r="A15" s="7" t="s">
        <v>95</v>
      </c>
      <c r="B15" s="30" t="n">
        <f aca="false">Inputs!B34</f>
        <v>6</v>
      </c>
      <c r="C15" s="24" t="n">
        <f aca="false">B15*(1-$B$3)</f>
        <v>5.4</v>
      </c>
      <c r="D15" s="24" t="n">
        <f aca="false">B15*(1+$B$3)</f>
        <v>6.6</v>
      </c>
      <c r="E15" s="29" t="n">
        <f aca="false">Inputs!$B$48*((Inputs!$B$22)*(Inputs!$B$8*Inputs!$B$39+Inputs!$B$29+Inputs!$B$30-Inputs!$B$31-Inputs!$B$32-Inputs!$B$33-C15-Inputs!$B$8*(Inputs!$B$35+Inputs!$B$36))-Model!$B$22)</f>
        <v>-25207.8152419741</v>
      </c>
      <c r="F15" s="29" t="n">
        <f aca="false">Inputs!$B$48*((Inputs!$B$22)*(Inputs!$B$8*Inputs!$B$39+Inputs!$B$29+Inputs!$B$30-Inputs!$B$31-Inputs!$B$32-Inputs!$B$33-D15-Inputs!$B$8*(Inputs!$B$35+Inputs!$B$36))-Model!$B$22)</f>
        <v>-63889.8846669984</v>
      </c>
      <c r="G15" s="29" t="n">
        <f aca="false">E15-Model!$B$28</f>
        <v>19341.0347125122</v>
      </c>
      <c r="H15" s="29" t="n">
        <f aca="false">F15-Model!$B$28</f>
        <v>-19341.0347125121</v>
      </c>
      <c r="I15" s="29" t="n">
        <f aca="false">ABS(F15-E15)</f>
        <v>38682.0694250243</v>
      </c>
      <c r="J15" s="24" t="n">
        <f aca="false">I15*Inputs!$B$11/10000000</f>
        <v>4.52967032967035</v>
      </c>
    </row>
    <row r="16" customFormat="false" ht="15" hidden="false" customHeight="false" outlineLevel="0" collapsed="false">
      <c r="A16" s="7" t="s">
        <v>226</v>
      </c>
      <c r="B16" s="30" t="n">
        <f aca="false">Inputs!B31</f>
        <v>6</v>
      </c>
      <c r="C16" s="24" t="n">
        <f aca="false">B16*(1-$B$3)</f>
        <v>5.4</v>
      </c>
      <c r="D16" s="24" t="n">
        <f aca="false">B16*(1+$B$3)</f>
        <v>6.6</v>
      </c>
      <c r="E16" s="29" t="n">
        <f aca="false">Inputs!$B$48*((Inputs!$B$22)*(Inputs!$B$8*Inputs!$B$39+Inputs!$B$29+Inputs!$B$30-C16-Inputs!$B$32-Inputs!$B$33-Inputs!$B$34-Inputs!$B$8*(Inputs!$B$35+Inputs!$B$36))-Model!$B$22)</f>
        <v>-25207.8152419743</v>
      </c>
      <c r="F16" s="29" t="n">
        <f aca="false">Inputs!$B$48*((Inputs!$B$22)*(Inputs!$B$8*Inputs!$B$39+Inputs!$B$29+Inputs!$B$30-D16-Inputs!$B$32-Inputs!$B$33-Inputs!$B$34-Inputs!$B$8*(Inputs!$B$35+Inputs!$B$36))-Model!$B$22)</f>
        <v>-63889.8846669982</v>
      </c>
      <c r="G16" s="29" t="n">
        <f aca="false">E16-Model!$B$28</f>
        <v>19341.034712512</v>
      </c>
      <c r="H16" s="29" t="n">
        <f aca="false">F16-Model!$B$28</f>
        <v>-19341.0347125119</v>
      </c>
      <c r="I16" s="29" t="n">
        <f aca="false">ABS(F16-E16)</f>
        <v>38682.0694250239</v>
      </c>
      <c r="J16" s="24" t="n">
        <f aca="false">I16*Inputs!$B$11/10000000</f>
        <v>4.5296703296703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7" t="s">
        <v>227</v>
      </c>
      <c r="B18" s="36" t="n">
        <f aca="false">Model!B28</f>
        <v>-44548.8499544863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9" t="s">
        <v>228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9" t="s">
        <v>229</v>
      </c>
      <c r="B20" s="2"/>
      <c r="C20" s="2"/>
      <c r="D20" s="2"/>
      <c r="E20" s="2"/>
      <c r="F20" s="2"/>
      <c r="G20" s="2"/>
      <c r="H20" s="2"/>
      <c r="I20" s="2"/>
      <c r="J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230</v>
      </c>
      <c r="B1" s="2"/>
      <c r="C1" s="2"/>
    </row>
    <row r="2" customFormat="false" ht="15" hidden="false" customHeight="false" outlineLevel="0" collapsed="false">
      <c r="A2" s="3" t="s">
        <v>231</v>
      </c>
      <c r="B2" s="2"/>
      <c r="C2" s="2"/>
    </row>
    <row r="3" customFormat="false" ht="23.85" hidden="false" customHeight="false" outlineLevel="0" collapsed="false">
      <c r="A3" s="6" t="s">
        <v>73</v>
      </c>
      <c r="B3" s="6" t="s">
        <v>156</v>
      </c>
      <c r="C3" s="6" t="s">
        <v>232</v>
      </c>
    </row>
    <row r="4" customFormat="false" ht="15" hidden="false" customHeight="false" outlineLevel="0" collapsed="false">
      <c r="A4" s="19" t="n">
        <v>200</v>
      </c>
      <c r="B4" s="29" t="n">
        <f aca="false">A4*Model!$B$17-Model!$B$22</f>
        <v>-23711.3026792166</v>
      </c>
      <c r="C4" s="24" t="n">
        <f aca="false">B4/A4</f>
        <v>-118.556513396083</v>
      </c>
    </row>
    <row r="5" customFormat="false" ht="15" hidden="false" customHeight="false" outlineLevel="0" collapsed="false">
      <c r="A5" s="19" t="n">
        <v>400</v>
      </c>
      <c r="B5" s="29" t="n">
        <f aca="false">A5*Model!$B$17-Model!$B$22</f>
        <v>-18628.1026792166</v>
      </c>
      <c r="C5" s="24" t="n">
        <f aca="false">B5/A5</f>
        <v>-46.5702566980415</v>
      </c>
    </row>
    <row r="6" customFormat="false" ht="15" hidden="false" customHeight="false" outlineLevel="0" collapsed="false">
      <c r="A6" s="19" t="n">
        <v>600</v>
      </c>
      <c r="B6" s="29" t="n">
        <f aca="false">A6*Model!$B$17-Model!$B$22</f>
        <v>-13544.9026792166</v>
      </c>
      <c r="C6" s="24" t="n">
        <f aca="false">B6/A6</f>
        <v>-22.5748377986943</v>
      </c>
    </row>
    <row r="7" customFormat="false" ht="15" hidden="false" customHeight="false" outlineLevel="0" collapsed="false">
      <c r="A7" s="19" t="n">
        <v>800</v>
      </c>
      <c r="B7" s="29" t="n">
        <f aca="false">A7*Model!$B$17-Model!$B$22</f>
        <v>-8461.70267921661</v>
      </c>
      <c r="C7" s="24" t="n">
        <f aca="false">B7/A7</f>
        <v>-10.5771283490208</v>
      </c>
    </row>
    <row r="8" customFormat="false" ht="15" hidden="false" customHeight="false" outlineLevel="0" collapsed="false">
      <c r="A8" s="19" t="n">
        <v>1000</v>
      </c>
      <c r="B8" s="29" t="n">
        <f aca="false">A8*Model!$B$17-Model!$B$22</f>
        <v>-3378.50267921661</v>
      </c>
      <c r="C8" s="24" t="n">
        <f aca="false">B8/A8</f>
        <v>-3.37850267921661</v>
      </c>
    </row>
    <row r="9" customFormat="false" ht="15" hidden="false" customHeight="false" outlineLevel="0" collapsed="false">
      <c r="A9" s="19" t="n">
        <v>1200</v>
      </c>
      <c r="B9" s="29" t="n">
        <f aca="false">A9*Model!$B$17-Model!$B$22</f>
        <v>1704.69732078339</v>
      </c>
      <c r="C9" s="24" t="n">
        <f aca="false">B9/A9</f>
        <v>1.42058110065283</v>
      </c>
    </row>
    <row r="10" customFormat="false" ht="15" hidden="false" customHeight="false" outlineLevel="0" collapsed="false">
      <c r="A10" s="19" t="n">
        <v>1400</v>
      </c>
      <c r="B10" s="29" t="n">
        <f aca="false">A10*Model!$B$17-Model!$B$22</f>
        <v>6787.89732078339</v>
      </c>
      <c r="C10" s="24" t="n">
        <f aca="false">B10/A10</f>
        <v>4.84849808627385</v>
      </c>
    </row>
    <row r="11" customFormat="false" ht="15" hidden="false" customHeight="false" outlineLevel="0" collapsed="false">
      <c r="A11" s="19" t="n">
        <v>1600</v>
      </c>
      <c r="B11" s="29" t="n">
        <f aca="false">A11*Model!$B$17-Model!$B$22</f>
        <v>11871.0973207834</v>
      </c>
      <c r="C11" s="24" t="n">
        <f aca="false">B11/A11</f>
        <v>7.41943582548962</v>
      </c>
    </row>
    <row r="12" customFormat="false" ht="15" hidden="false" customHeight="false" outlineLevel="0" collapsed="false">
      <c r="A12" s="19" t="n">
        <v>1800</v>
      </c>
      <c r="B12" s="29" t="n">
        <f aca="false">A12*Model!$B$17-Model!$B$22</f>
        <v>16954.2973207834</v>
      </c>
      <c r="C12" s="24" t="n">
        <f aca="false">B12/A12</f>
        <v>9.41905406710188</v>
      </c>
    </row>
    <row r="13" customFormat="false" ht="15" hidden="false" customHeight="false" outlineLevel="0" collapsed="false">
      <c r="A13" s="19" t="n">
        <v>2000</v>
      </c>
      <c r="B13" s="29" t="n">
        <f aca="false">A13*Model!$B$17-Model!$B$22</f>
        <v>22037.4973207834</v>
      </c>
      <c r="C13" s="24" t="n">
        <f aca="false">B13/A13</f>
        <v>11.0187486603917</v>
      </c>
    </row>
    <row r="14" customFormat="false" ht="15" hidden="false" customHeight="false" outlineLevel="0" collapsed="false">
      <c r="A14" s="19" t="n">
        <v>2200</v>
      </c>
      <c r="B14" s="29" t="n">
        <f aca="false">A14*Model!$B$17-Model!$B$22</f>
        <v>27120.6973207834</v>
      </c>
      <c r="C14" s="24" t="n">
        <f aca="false">B14/A14</f>
        <v>12.3275896912652</v>
      </c>
    </row>
    <row r="15" customFormat="false" ht="15" hidden="false" customHeight="false" outlineLevel="0" collapsed="false">
      <c r="A15" s="19" t="n">
        <v>2400</v>
      </c>
      <c r="B15" s="29" t="n">
        <f aca="false">A15*Model!$B$17-Model!$B$22</f>
        <v>32203.8973207834</v>
      </c>
      <c r="C15" s="24" t="n">
        <f aca="false">B15/A15</f>
        <v>13.4182905503264</v>
      </c>
    </row>
    <row r="16" customFormat="false" ht="15" hidden="false" customHeight="false" outlineLevel="0" collapsed="false">
      <c r="A16" s="19" t="n">
        <v>2600</v>
      </c>
      <c r="B16" s="29" t="n">
        <f aca="false">A16*Model!$B$17-Model!$B$22</f>
        <v>37287.0973207834</v>
      </c>
      <c r="C16" s="24" t="n">
        <f aca="false">B16/A16</f>
        <v>14.3411912772244</v>
      </c>
    </row>
    <row r="17" customFormat="false" ht="15" hidden="false" customHeight="false" outlineLevel="0" collapsed="false">
      <c r="A17" s="19" t="n">
        <v>2800</v>
      </c>
      <c r="B17" s="29" t="n">
        <f aca="false">A17*Model!$B$17-Model!$B$22</f>
        <v>42370.2973207834</v>
      </c>
      <c r="C17" s="24" t="n">
        <f aca="false">B17/A17</f>
        <v>15.1322490431369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233</v>
      </c>
      <c r="B1" s="2"/>
      <c r="C1" s="2"/>
      <c r="D1" s="2"/>
    </row>
    <row r="2" customFormat="false" ht="15" hidden="false" customHeight="false" outlineLevel="0" collapsed="false">
      <c r="A2" s="3" t="s">
        <v>234</v>
      </c>
      <c r="B2" s="2"/>
      <c r="C2" s="2"/>
      <c r="D2" s="2"/>
    </row>
    <row r="3" customFormat="false" ht="15" hidden="false" customHeight="false" outlineLevel="0" collapsed="false">
      <c r="A3" s="6" t="s">
        <v>235</v>
      </c>
      <c r="B3" s="6" t="s">
        <v>236</v>
      </c>
      <c r="C3" s="6" t="s">
        <v>237</v>
      </c>
      <c r="D3" s="6" t="s">
        <v>238</v>
      </c>
    </row>
    <row r="4" customFormat="false" ht="15" hidden="false" customHeight="false" outlineLevel="0" collapsed="false">
      <c r="A4" s="7" t="s">
        <v>239</v>
      </c>
      <c r="B4" s="21" t="n">
        <f aca="false">Inputs!B22</f>
        <v>1074.50192847289</v>
      </c>
      <c r="C4" s="44" t="n">
        <v>1075</v>
      </c>
      <c r="D4" s="31" t="str">
        <f aca="false">IF(ABS(B4-C4)&lt;1,"PASS","FAIL")</f>
        <v>PASS</v>
      </c>
    </row>
    <row r="5" customFormat="false" ht="15" hidden="false" customHeight="false" outlineLevel="0" collapsed="false">
      <c r="A5" s="7" t="s">
        <v>240</v>
      </c>
      <c r="B5" s="22" t="n">
        <f aca="false">ROUND(Inputs!B23,3)</f>
        <v>0.156</v>
      </c>
      <c r="C5" s="18" t="n">
        <v>0.156</v>
      </c>
      <c r="D5" s="31" t="str">
        <f aca="false">IF(ABS(B5-C5)&lt;0.0005,"PASS","FAIL")</f>
        <v>PASS</v>
      </c>
    </row>
    <row r="6" customFormat="false" ht="15" hidden="false" customHeight="false" outlineLevel="0" collapsed="false">
      <c r="A6" s="7" t="s">
        <v>241</v>
      </c>
      <c r="B6" s="29" t="n">
        <f aca="false">ROUND(Inputs!B25,0)</f>
        <v>109</v>
      </c>
      <c r="C6" s="17" t="n">
        <v>109</v>
      </c>
      <c r="D6" s="31" t="str">
        <f aca="false">IF(B6=C6,"PASS","FAIL")</f>
        <v>PASS</v>
      </c>
    </row>
    <row r="7" customFormat="false" ht="15" hidden="false" customHeight="false" outlineLevel="0" collapsed="false">
      <c r="A7" s="7" t="s">
        <v>242</v>
      </c>
      <c r="B7" s="25" t="n">
        <f aca="false">Inputs!B26</f>
        <v>7911.95</v>
      </c>
      <c r="C7" s="25" t="n">
        <f aca="false">Inputs!B6</f>
        <v>7907</v>
      </c>
      <c r="D7" s="31" t="str">
        <f aca="false">IF(ABS(B7/C7-1)&lt;0.002,"PASS","FAIL")</f>
        <v>PASS</v>
      </c>
    </row>
    <row r="8" customFormat="false" ht="15" hidden="false" customHeight="false" outlineLevel="0" collapsed="false">
      <c r="A8" s="7" t="s">
        <v>243</v>
      </c>
      <c r="B8" s="24" t="n">
        <f aca="false">Model!B9</f>
        <v>108</v>
      </c>
      <c r="C8" s="24" t="n">
        <f aca="false">Inputs!B9</f>
        <v>108</v>
      </c>
      <c r="D8" s="31" t="str">
        <f aca="false">IF(ABS(B8-C8)&lt;0.0001,"PASS","FAIL")</f>
        <v>PASS</v>
      </c>
    </row>
    <row r="9" customFormat="false" ht="15" hidden="false" customHeight="false" outlineLevel="0" collapsed="false">
      <c r="A9" s="7" t="s">
        <v>244</v>
      </c>
      <c r="B9" s="28" t="n">
        <f aca="false">Model!B26</f>
        <v>-0.00200000000000001</v>
      </c>
      <c r="C9" s="28" t="n">
        <f aca="false">Inputs!B10</f>
        <v>-0.002</v>
      </c>
      <c r="D9" s="31" t="str">
        <f aca="false">IF(ABS(B9-C9)&lt;0.000001,"PASS","FAIL")</f>
        <v>PASS</v>
      </c>
    </row>
    <row r="10" customFormat="false" ht="15" hidden="false" customHeight="false" outlineLevel="0" collapsed="false">
      <c r="A10" s="7" t="s">
        <v>245</v>
      </c>
      <c r="B10" s="24" t="n">
        <f aca="false">Model!B31*Model!B17-Model!B22</f>
        <v>0</v>
      </c>
      <c r="C10" s="45" t="n">
        <v>0</v>
      </c>
      <c r="D10" s="31" t="str">
        <f aca="false">IF(ABS(B10)&lt;0.01,"PASS","FAIL")</f>
        <v>PASS</v>
      </c>
    </row>
    <row r="11" customFormat="false" ht="15" hidden="false" customHeight="false" outlineLevel="0" collapsed="false">
      <c r="A11" s="7" t="s">
        <v>246</v>
      </c>
      <c r="B11" s="29" t="n">
        <f aca="false">Scenarios!B26</f>
        <v>-44548.8499544863</v>
      </c>
      <c r="C11" s="29" t="n">
        <f aca="false">Model!B28</f>
        <v>-44548.8499544863</v>
      </c>
      <c r="D11" s="31" t="str">
        <f aca="false">IF(ABS(B11-C11)&lt;0.01,"PASS","FAIL")</f>
        <v>PASS</v>
      </c>
    </row>
    <row r="12" customFormat="false" ht="15" hidden="false" customHeight="false" outlineLevel="0" collapsed="false">
      <c r="A12" s="7" t="s">
        <v>247</v>
      </c>
      <c r="B12" s="28" t="n">
        <f aca="false">Sensitivity!E8</f>
        <v>-0.00198203167531599</v>
      </c>
      <c r="C12" s="28" t="n">
        <f aca="false">Inputs!B10</f>
        <v>-0.002</v>
      </c>
      <c r="D12" s="31" t="str">
        <f aca="false">IF(ABS(B12-C12)&lt;0.0005,"PASS","FAIL")</f>
        <v>PASS</v>
      </c>
    </row>
    <row r="13" customFormat="false" ht="15" hidden="false" customHeight="false" outlineLevel="0" collapsed="false">
      <c r="A13" s="7" t="s">
        <v>248</v>
      </c>
      <c r="B13" s="29" t="n">
        <f aca="false">Tornado!B18</f>
        <v>-44548.8499544863</v>
      </c>
      <c r="C13" s="29" t="n">
        <f aca="false">Model!B28</f>
        <v>-44548.8499544863</v>
      </c>
      <c r="D13" s="31" t="str">
        <f aca="false">IF(ABS(B13-C13)&lt;0.01,"PASS","FAIL")</f>
        <v>PASS</v>
      </c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31" t="s">
        <v>249</v>
      </c>
      <c r="B15" s="2"/>
      <c r="C15" s="2"/>
      <c r="D15" s="31" t="str">
        <f aca="false">IF(COUNTIF(D4:D13,"PASS")=10,"ALL PASS","REVIEW")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2026-10-07T08:41:31Z</dcterms:created>
  <dc:creator>openpyxl</dc:creator>
  <dc:description/>
  <dc:language>en-US</dc:language>
  <cp:lastModifiedBy/>
  <dcterms:modified xsi:type="dcterms:W3CDTF">2026-10-07T08:41:32Z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